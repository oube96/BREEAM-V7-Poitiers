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F1AD1FB0-1A54-480B-8AF9-77F53729E12B}" xr6:coauthVersionLast="47" xr6:coauthVersionMax="47" xr10:uidLastSave="{00000000-0000-0000-0000-000000000000}"/>
  <bookViews>
    <workbookView xWindow="-28920" yWindow="-120" windowWidth="29040" windowHeight="15720" xr2:uid="{7660EDCE-C832-43A9-B389-B997603951EF}"/>
  </bookViews>
  <sheets>
    <sheet name="Evaluation" sheetId="3" r:id="rId1"/>
    <sheet name="Score" sheetId="6" r:id="rId2"/>
    <sheet name="Points à prendre" sheetId="4" r:id="rId3"/>
  </sheets>
  <definedNames>
    <definedName name="_xlnm._FilterDatabase" localSheetId="0" hidden="1">Evaluation!$A$1:$N$142</definedName>
    <definedName name="_xlnm.Print_Titles" localSheetId="0">Evaluation!$1:$1</definedName>
    <definedName name="_xlnm.Print_Titles" localSheetId="2">'Points à prendre'!$3:$3</definedName>
    <definedName name="_xlnm.Print_Area" localSheetId="0">Evaluation!$A$1:$N$142</definedName>
    <definedName name="_xlnm.Print_Area" localSheetId="2">'Points à prendre'!$F$3:$N$10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4" i="6" l="1"/>
  <c r="Q5" i="6"/>
  <c r="Q6" i="6"/>
  <c r="Q7" i="6"/>
  <c r="Q8" i="6"/>
  <c r="Q9" i="6"/>
  <c r="Q10" i="6"/>
  <c r="Q11" i="6"/>
  <c r="Q12" i="6"/>
  <c r="Q13" i="6"/>
  <c r="Q3" i="6"/>
  <c r="C54" i="6"/>
  <c r="D54" i="6"/>
  <c r="E54" i="6"/>
  <c r="F54" i="6"/>
  <c r="C55" i="6"/>
  <c r="D55" i="6"/>
  <c r="E55" i="6"/>
  <c r="F55" i="6"/>
  <c r="C56" i="6"/>
  <c r="D56" i="6"/>
  <c r="E56" i="6"/>
  <c r="F56" i="6"/>
  <c r="C57" i="6"/>
  <c r="D57" i="6"/>
  <c r="E57" i="6"/>
  <c r="F57" i="6"/>
  <c r="C58" i="6"/>
  <c r="D58" i="6"/>
  <c r="E58" i="6"/>
  <c r="F58" i="6"/>
  <c r="C59" i="6"/>
  <c r="D59" i="6"/>
  <c r="E59" i="6"/>
  <c r="F59" i="6"/>
  <c r="C60" i="6"/>
  <c r="D60" i="6"/>
  <c r="E60" i="6"/>
  <c r="F60" i="6"/>
  <c r="C61" i="6"/>
  <c r="D61" i="6"/>
  <c r="E61" i="6"/>
  <c r="F61" i="6"/>
  <c r="C62" i="6"/>
  <c r="D62" i="6"/>
  <c r="E62" i="6"/>
  <c r="F62" i="6"/>
  <c r="C63" i="6"/>
  <c r="D63" i="6"/>
  <c r="E63" i="6"/>
  <c r="F63" i="6"/>
  <c r="C64" i="6"/>
  <c r="D64" i="6"/>
  <c r="E64" i="6"/>
  <c r="F64" i="6"/>
  <c r="C65" i="6"/>
  <c r="D65" i="6"/>
  <c r="E65" i="6"/>
  <c r="F65" i="6"/>
  <c r="C66" i="6"/>
  <c r="D66" i="6"/>
  <c r="E66" i="6"/>
  <c r="F66" i="6"/>
  <c r="C67" i="6"/>
  <c r="D67" i="6"/>
  <c r="E67" i="6"/>
  <c r="F67" i="6"/>
  <c r="C68" i="6"/>
  <c r="D68" i="6"/>
  <c r="E68" i="6"/>
  <c r="F68" i="6"/>
  <c r="C69" i="6"/>
  <c r="D69" i="6"/>
  <c r="E69" i="6"/>
  <c r="F69" i="6"/>
  <c r="F53" i="6"/>
  <c r="E53" i="6"/>
  <c r="D53" i="6"/>
  <c r="C53" i="6"/>
  <c r="D3" i="6"/>
  <c r="E3" i="6"/>
  <c r="F3" i="6"/>
  <c r="D4" i="6"/>
  <c r="E4" i="6"/>
  <c r="F4" i="6"/>
  <c r="D5" i="6"/>
  <c r="E5" i="6"/>
  <c r="F5" i="6"/>
  <c r="D6" i="6"/>
  <c r="E6" i="6"/>
  <c r="F6" i="6"/>
  <c r="D7" i="6"/>
  <c r="E7" i="6"/>
  <c r="F7" i="6"/>
  <c r="D8" i="6"/>
  <c r="E8" i="6"/>
  <c r="F8" i="6"/>
  <c r="D9" i="6"/>
  <c r="E9" i="6"/>
  <c r="F9" i="6"/>
  <c r="D10" i="6"/>
  <c r="E10" i="6"/>
  <c r="F10" i="6"/>
  <c r="D11" i="6"/>
  <c r="E11" i="6"/>
  <c r="F11" i="6"/>
  <c r="D12" i="6"/>
  <c r="E12" i="6"/>
  <c r="F12" i="6"/>
  <c r="D13" i="6"/>
  <c r="E13" i="6"/>
  <c r="F13" i="6"/>
  <c r="D14" i="6"/>
  <c r="E14" i="6"/>
  <c r="F14" i="6"/>
  <c r="D15" i="6"/>
  <c r="E15" i="6"/>
  <c r="F15" i="6"/>
  <c r="D16" i="6"/>
  <c r="E16" i="6"/>
  <c r="F16" i="6"/>
  <c r="D17" i="6"/>
  <c r="E17" i="6"/>
  <c r="F17" i="6"/>
  <c r="D18" i="6"/>
  <c r="E18" i="6"/>
  <c r="F18" i="6"/>
  <c r="D19" i="6"/>
  <c r="E19" i="6"/>
  <c r="F19" i="6"/>
  <c r="D20" i="6"/>
  <c r="E20" i="6"/>
  <c r="F20" i="6"/>
  <c r="D21" i="6"/>
  <c r="E21" i="6"/>
  <c r="F21" i="6"/>
  <c r="D22" i="6"/>
  <c r="E22" i="6"/>
  <c r="F22" i="6"/>
  <c r="D23" i="6"/>
  <c r="E23" i="6"/>
  <c r="F23" i="6"/>
  <c r="D24" i="6"/>
  <c r="E24" i="6"/>
  <c r="F24" i="6"/>
  <c r="D25" i="6"/>
  <c r="E25" i="6"/>
  <c r="F25" i="6"/>
  <c r="D26" i="6"/>
  <c r="E26" i="6"/>
  <c r="F26" i="6"/>
  <c r="D27" i="6"/>
  <c r="E27" i="6"/>
  <c r="F27" i="6"/>
  <c r="D28" i="6"/>
  <c r="E28" i="6"/>
  <c r="F28" i="6"/>
  <c r="D29" i="6"/>
  <c r="E29" i="6"/>
  <c r="F29" i="6"/>
  <c r="D30" i="6"/>
  <c r="E30" i="6"/>
  <c r="F30" i="6"/>
  <c r="D31" i="6"/>
  <c r="E31" i="6"/>
  <c r="F31" i="6"/>
  <c r="D32" i="6"/>
  <c r="E32" i="6"/>
  <c r="F32" i="6"/>
  <c r="D33" i="6"/>
  <c r="E33" i="6"/>
  <c r="F33" i="6"/>
  <c r="D34" i="6"/>
  <c r="E34" i="6"/>
  <c r="F34" i="6"/>
  <c r="D35" i="6"/>
  <c r="E35" i="6"/>
  <c r="F35" i="6"/>
  <c r="D36" i="6"/>
  <c r="E36" i="6"/>
  <c r="F36" i="6"/>
  <c r="D37" i="6"/>
  <c r="E37" i="6"/>
  <c r="F37" i="6"/>
  <c r="D38" i="6"/>
  <c r="E38" i="6"/>
  <c r="F38" i="6"/>
  <c r="D39" i="6"/>
  <c r="E39" i="6"/>
  <c r="F39" i="6"/>
  <c r="D40" i="6"/>
  <c r="E40" i="6"/>
  <c r="F40" i="6"/>
  <c r="D41" i="6"/>
  <c r="E41" i="6"/>
  <c r="F41" i="6"/>
  <c r="D42" i="6"/>
  <c r="E42" i="6"/>
  <c r="F42" i="6"/>
  <c r="D43" i="6"/>
  <c r="E43" i="6"/>
  <c r="F43" i="6"/>
  <c r="D44" i="6"/>
  <c r="E44" i="6"/>
  <c r="F44" i="6"/>
  <c r="D45" i="6"/>
  <c r="E45" i="6"/>
  <c r="F45" i="6"/>
  <c r="D46" i="6"/>
  <c r="E46" i="6"/>
  <c r="F46" i="6"/>
  <c r="D47" i="6"/>
  <c r="E47" i="6"/>
  <c r="F47" i="6"/>
  <c r="D48" i="6"/>
  <c r="E48" i="6"/>
  <c r="F48" i="6"/>
  <c r="D49" i="6"/>
  <c r="E49" i="6"/>
  <c r="F49" i="6"/>
  <c r="D50" i="6"/>
  <c r="E50" i="6"/>
  <c r="F50" i="6"/>
  <c r="D51" i="6"/>
  <c r="E51" i="6"/>
  <c r="F51" i="6"/>
  <c r="D52" i="6"/>
  <c r="E52" i="6"/>
  <c r="F52" i="6"/>
  <c r="F2" i="6"/>
  <c r="E2"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2" i="6"/>
  <c r="G7" i="6" l="1"/>
  <c r="J43" i="6"/>
  <c r="J6" i="4" l="1"/>
  <c r="K6" i="4"/>
  <c r="J7" i="4"/>
  <c r="K7" i="4"/>
  <c r="J8" i="4"/>
  <c r="K8" i="4"/>
  <c r="J9" i="4"/>
  <c r="J10" i="4"/>
  <c r="J11" i="4"/>
  <c r="J12" i="4"/>
  <c r="J13" i="4"/>
  <c r="K13" i="4"/>
  <c r="J14" i="4"/>
  <c r="K14" i="4"/>
  <c r="J15" i="4"/>
  <c r="K15" i="4"/>
  <c r="J16" i="4"/>
  <c r="K16" i="4"/>
  <c r="J17" i="4"/>
  <c r="K17" i="4"/>
  <c r="I18" i="4"/>
  <c r="J18" i="4"/>
  <c r="P12" i="6" l="1"/>
  <c r="U12" i="6" s="1"/>
  <c r="P11" i="6"/>
  <c r="U11" i="6" s="1"/>
  <c r="P10" i="6"/>
  <c r="P9" i="6"/>
  <c r="P8" i="6"/>
  <c r="P7" i="6"/>
  <c r="P6" i="6"/>
  <c r="P5" i="6"/>
  <c r="P4" i="6"/>
  <c r="P3" i="6"/>
  <c r="H17" i="6" l="1"/>
  <c r="I17" i="6"/>
  <c r="H2" i="6"/>
  <c r="H7" i="6"/>
  <c r="J17" i="6"/>
  <c r="I7" i="6"/>
  <c r="J7" i="6"/>
  <c r="I32" i="6"/>
  <c r="I53" i="6"/>
  <c r="I43" i="6"/>
  <c r="I25" i="6"/>
  <c r="J53" i="6"/>
  <c r="J48" i="6"/>
  <c r="I48" i="6"/>
  <c r="J37" i="6"/>
  <c r="I37" i="6"/>
  <c r="J27" i="6"/>
  <c r="I27" i="6"/>
  <c r="J25" i="6"/>
  <c r="J2" i="6"/>
  <c r="I2" i="6"/>
  <c r="J32" i="6"/>
  <c r="G48" i="6"/>
  <c r="K48" i="6" s="1"/>
  <c r="H48" i="6"/>
  <c r="K53" i="6"/>
  <c r="U10" i="6"/>
  <c r="U9" i="6"/>
  <c r="U8" i="6"/>
  <c r="U7" i="6"/>
  <c r="U6" i="6"/>
  <c r="U5" i="6"/>
  <c r="U4" i="6"/>
  <c r="U3" i="6"/>
  <c r="U1" i="6" l="1"/>
  <c r="G53" i="6"/>
  <c r="K7" i="6"/>
  <c r="N7" i="6" s="1"/>
  <c r="N53" i="6"/>
  <c r="M53" i="6"/>
  <c r="S12" i="6" s="1"/>
  <c r="M48" i="6"/>
  <c r="L48" i="6"/>
  <c r="N48" i="6"/>
  <c r="T11" i="6" s="1"/>
  <c r="X11" i="6" s="1"/>
  <c r="G32" i="6"/>
  <c r="G17" i="6"/>
  <c r="K17" i="6" s="1"/>
  <c r="H27" i="6"/>
  <c r="H25" i="6"/>
  <c r="G37" i="6"/>
  <c r="K37" i="6" s="1"/>
  <c r="H32" i="6"/>
  <c r="H37" i="6"/>
  <c r="G43" i="6"/>
  <c r="H43" i="6"/>
  <c r="H53" i="6"/>
  <c r="L53" i="6" s="1"/>
  <c r="G27" i="6"/>
  <c r="K27" i="6" s="1"/>
  <c r="G25" i="6"/>
  <c r="G2" i="6"/>
  <c r="R12" i="6" l="1"/>
  <c r="V12" i="6" s="1"/>
  <c r="T12" i="6"/>
  <c r="X12" i="6" s="1"/>
  <c r="M7" i="6"/>
  <c r="S4" i="6" s="1"/>
  <c r="W4" i="6" s="1"/>
  <c r="L7" i="6"/>
  <c r="R4" i="6" s="1"/>
  <c r="V4" i="6" s="1"/>
  <c r="N37" i="6"/>
  <c r="T9" i="6" s="1"/>
  <c r="X9" i="6" s="1"/>
  <c r="N17" i="6"/>
  <c r="T5" i="6" s="1"/>
  <c r="X5" i="6" s="1"/>
  <c r="M37" i="6"/>
  <c r="S9" i="6" s="1"/>
  <c r="W9" i="6" s="1"/>
  <c r="M17" i="6"/>
  <c r="S5" i="6" s="1"/>
  <c r="W5" i="6" s="1"/>
  <c r="T4" i="6"/>
  <c r="X4" i="6" s="1"/>
  <c r="K32" i="6"/>
  <c r="W12" i="6"/>
  <c r="K25" i="6"/>
  <c r="S11" i="6"/>
  <c r="W11" i="6" s="1"/>
  <c r="K43" i="6"/>
  <c r="L17" i="6"/>
  <c r="R5" i="6" s="1"/>
  <c r="V5" i="6" s="1"/>
  <c r="K2" i="6"/>
  <c r="L37" i="6"/>
  <c r="R9" i="6" s="1"/>
  <c r="V9" i="6" s="1"/>
  <c r="L32" i="6" l="1"/>
  <c r="R8" i="6" s="1"/>
  <c r="V8" i="6" s="1"/>
  <c r="L27" i="6"/>
  <c r="R7" i="6" s="1"/>
  <c r="V7" i="6" s="1"/>
  <c r="N27" i="6"/>
  <c r="T7" i="6" s="1"/>
  <c r="X7" i="6" s="1"/>
  <c r="M27" i="6"/>
  <c r="S7" i="6" s="1"/>
  <c r="W7" i="6" s="1"/>
  <c r="M32" i="6"/>
  <c r="S8" i="6" s="1"/>
  <c r="W8" i="6" s="1"/>
  <c r="N32" i="6"/>
  <c r="T8" i="6" s="1"/>
  <c r="X8" i="6" s="1"/>
  <c r="M25" i="6"/>
  <c r="S6" i="6" s="1"/>
  <c r="W6" i="6" s="1"/>
  <c r="N25" i="6"/>
  <c r="T6" i="6" s="1"/>
  <c r="X6" i="6" s="1"/>
  <c r="N2" i="6"/>
  <c r="T3" i="6" s="1"/>
  <c r="M2" i="6"/>
  <c r="S3" i="6" s="1"/>
  <c r="M43" i="6"/>
  <c r="S10" i="6" s="1"/>
  <c r="W10" i="6" s="1"/>
  <c r="N43" i="6"/>
  <c r="T10" i="6" s="1"/>
  <c r="X10" i="6" s="1"/>
  <c r="L25" i="6"/>
  <c r="R6" i="6" s="1"/>
  <c r="V6" i="6" s="1"/>
  <c r="R11" i="6"/>
  <c r="V11" i="6" s="1"/>
  <c r="L43" i="6"/>
  <c r="R10" i="6" s="1"/>
  <c r="V10" i="6" s="1"/>
  <c r="L2" i="6"/>
  <c r="R3" i="6" s="1"/>
  <c r="T14" i="6" l="1"/>
  <c r="T15" i="6" s="1"/>
  <c r="T1" i="6"/>
  <c r="W3" i="6"/>
  <c r="S14" i="6"/>
  <c r="S15" i="6" s="1"/>
  <c r="X3" i="6"/>
  <c r="V3" i="6"/>
  <c r="R14" i="6"/>
  <c r="R15" i="6" s="1"/>
  <c r="S1" i="6"/>
  <c r="R1" i="6"/>
  <c r="K4" i="4" l="1"/>
  <c r="J5" i="4" l="1"/>
  <c r="J4" i="4" l="1"/>
</calcChain>
</file>

<file path=xl/sharedStrings.xml><?xml version="1.0" encoding="utf-8"?>
<sst xmlns="http://schemas.openxmlformats.org/spreadsheetml/2006/main" count="1193" uniqueCount="694">
  <si>
    <t>ESQ</t>
  </si>
  <si>
    <t>-</t>
  </si>
  <si>
    <t>Mat 05</t>
  </si>
  <si>
    <t>Mat 04</t>
  </si>
  <si>
    <t>Mat 03</t>
  </si>
  <si>
    <t>Mat 02</t>
  </si>
  <si>
    <t>Mat 01</t>
  </si>
  <si>
    <t>Wat 04</t>
  </si>
  <si>
    <t>Wat 03</t>
  </si>
  <si>
    <t>Wat 02</t>
  </si>
  <si>
    <t>Wat 01</t>
  </si>
  <si>
    <t>Tra 02</t>
  </si>
  <si>
    <t>Tra 01</t>
  </si>
  <si>
    <t>Man 01</t>
  </si>
  <si>
    <t>Man 02</t>
  </si>
  <si>
    <t>Man 03</t>
  </si>
  <si>
    <t>Man 04</t>
  </si>
  <si>
    <t>Man 05</t>
  </si>
  <si>
    <t>Hea 01</t>
  </si>
  <si>
    <t>Hea 02</t>
  </si>
  <si>
    <t>Hea 03</t>
  </si>
  <si>
    <t>Hea 04</t>
  </si>
  <si>
    <t>Hea 05</t>
  </si>
  <si>
    <t>Hea 06</t>
  </si>
  <si>
    <t>Hea 07</t>
  </si>
  <si>
    <t>Ene 01</t>
  </si>
  <si>
    <t>Ene 02</t>
  </si>
  <si>
    <t>Ene 03</t>
  </si>
  <si>
    <t>Ene 04</t>
  </si>
  <si>
    <t>Ene 05</t>
  </si>
  <si>
    <t>Ene 06</t>
  </si>
  <si>
    <t>Ene 07</t>
  </si>
  <si>
    <t>Ene 08</t>
  </si>
  <si>
    <t>1-2</t>
  </si>
  <si>
    <t>3-4</t>
  </si>
  <si>
    <t>1-6</t>
  </si>
  <si>
    <t>Excellent</t>
  </si>
  <si>
    <t>2-3</t>
  </si>
  <si>
    <t>4-6</t>
  </si>
  <si>
    <t>7-8</t>
  </si>
  <si>
    <t>Man 03X</t>
  </si>
  <si>
    <t>1-4</t>
  </si>
  <si>
    <t>5-8</t>
  </si>
  <si>
    <t>9-11</t>
  </si>
  <si>
    <t>12-14</t>
  </si>
  <si>
    <t>Pass</t>
  </si>
  <si>
    <t>5-6</t>
  </si>
  <si>
    <t>9-10</t>
  </si>
  <si>
    <t>4-5</t>
  </si>
  <si>
    <t>Man 05X</t>
  </si>
  <si>
    <t>Ventilation</t>
  </si>
  <si>
    <t>Hea 02X</t>
  </si>
  <si>
    <t>1-3</t>
  </si>
  <si>
    <t>1-5</t>
  </si>
  <si>
    <t>6-9</t>
  </si>
  <si>
    <t>Ene 01X</t>
  </si>
  <si>
    <t>7-12</t>
  </si>
  <si>
    <t>Very Good</t>
  </si>
  <si>
    <t>2-6</t>
  </si>
  <si>
    <t>Wat 01X</t>
  </si>
  <si>
    <t>4-5-6</t>
  </si>
  <si>
    <t>6-7</t>
  </si>
  <si>
    <t>/</t>
  </si>
  <si>
    <t>Mat 01X</t>
  </si>
  <si>
    <t>Mat 03X</t>
  </si>
  <si>
    <t>Pol 01</t>
  </si>
  <si>
    <t>Pol 02</t>
  </si>
  <si>
    <t>Pol 03</t>
  </si>
  <si>
    <t>Pol 04</t>
  </si>
  <si>
    <t>Pol 05</t>
  </si>
  <si>
    <t>Prérequis</t>
  </si>
  <si>
    <t>Crédit</t>
  </si>
  <si>
    <t>Critère</t>
  </si>
  <si>
    <t>Réponse du projet / observation</t>
  </si>
  <si>
    <t>Consultation des parties prenantes (tiers)</t>
  </si>
  <si>
    <t>Responsable durabilité (conception)</t>
  </si>
  <si>
    <t>Responsable durabilité (suivi des progrès)</t>
  </si>
  <si>
    <t>Analyse en coût global élémentaire</t>
  </si>
  <si>
    <t>Plan de LCC au niveau composants</t>
  </si>
  <si>
    <t>Suivi du coût du capital</t>
  </si>
  <si>
    <t>Gestion environnementale</t>
  </si>
  <si>
    <t>Suivi des impacts chantier - eau et énergie</t>
  </si>
  <si>
    <t>Niveau exemplaire</t>
  </si>
  <si>
    <t>Services de suivi après-vente</t>
  </si>
  <si>
    <t>Évaluation post-occupation</t>
  </si>
  <si>
    <t>Livraison</t>
  </si>
  <si>
    <t>Contrôle de l'éblouissement</t>
  </si>
  <si>
    <t>Vue sur l'extérieur</t>
  </si>
  <si>
    <t>Plan de qualité de l'air intérieur (QAI)</t>
  </si>
  <si>
    <t>Niveaux d'émission de composés organiques volatils (COV) (produits)</t>
  </si>
  <si>
    <t>Analyse de la conception passive</t>
  </si>
  <si>
    <t>Consommation d'eau</t>
  </si>
  <si>
    <t>Gestion de l'eau</t>
  </si>
  <si>
    <t>ESQ-APS-APD</t>
  </si>
  <si>
    <t>APS-APD</t>
  </si>
  <si>
    <t>APS-APD-PRO-DCE</t>
  </si>
  <si>
    <t>PRO-DCE</t>
  </si>
  <si>
    <t>PRO-DCE-VISA-DET</t>
  </si>
  <si>
    <t>VISA-DET</t>
  </si>
  <si>
    <t>ESQ-VISA-DET</t>
  </si>
  <si>
    <t>APS-APD-VISA-DET</t>
  </si>
  <si>
    <t>AOR-DOE</t>
  </si>
  <si>
    <t>PRO-DCE-VISA-DET-AOR-DOE</t>
  </si>
  <si>
    <t>PRO-DCE-AOR-DOE</t>
  </si>
  <si>
    <t>Mise en place d'équipement hydro-économes dans les sanitaires. Le nombre de points atteints se calcule via un outil BREEAM spécifique.</t>
  </si>
  <si>
    <t>Atteinte d'une niveau de consommation d'eau potable exceptionnellement faible en utilisant des systèmes de type "récupération d'eau pluviale".</t>
  </si>
  <si>
    <t>Mise en place d'un compteur sur la principale adduction d'eau. Comptage de chaque espace consommant plus de 10% de l'ensemble de la demande.
Les compteurs doivent pouvoir être reliés à une GTB.</t>
  </si>
  <si>
    <t>Installation de systèmes coupant l'alimentation en eau potable des blocs sanitaires, hors temps de présence des occupants.</t>
  </si>
  <si>
    <t>Plan d’approvisionnement durable</t>
  </si>
  <si>
    <t>Conception durable et résistante</t>
  </si>
  <si>
    <t>Protection des zones vulnérables du bâtiment contre les dommages et des zones exposées aux dégradations.</t>
  </si>
  <si>
    <t>Efficacité sur les matériaux</t>
  </si>
  <si>
    <t>Adaptabilité fonctionnelle</t>
  </si>
  <si>
    <t>Eviter l'enfouissement des déchets de chantier</t>
  </si>
  <si>
    <t>Impact des fluides frigorigènes</t>
  </si>
  <si>
    <t>Détection de fuites</t>
  </si>
  <si>
    <t>Réduction de la pollution lumineuse nocturne</t>
  </si>
  <si>
    <t>Une Évaluation des risques liés aux inondations spécifique au site confirme que le projet est implanté dans une zone ayant une faible probabilité annuelle d’inondation.
Cette évaluation doit prendre en compte la totalité des sources d’inondation, actuelles et futures.</t>
  </si>
  <si>
    <t>Les systèmes utilisant des fluides frigorigènes disposent d’un système de détection des fuites de fluide frigorigène automatique permanent OU une procédure automatique intégrée de diagnostic est installée pour la détection des fuites.</t>
  </si>
  <si>
    <t>Les fluides frigorigènes utilisés par les systèmes ont des émissions équivalent CO2 Effet direct du cycle de vie (Direct Effect Life Cycle CO2 equivalent emissions, DELC CO2e)
≤ 100 kg CO2e/kW de capacité de refroidissement ou de chauffage. (1000 kg CO2e/kW pour le premier point)</t>
  </si>
  <si>
    <t>le client ou le promoteur dispose d’une politique ou d’une procédure documentée qui définit les exigences  d’approvisionnement pour la totalité des fournisseurs et les filières à respecter pour un approvisionnement responsable des matériaux de construction.</t>
  </si>
  <si>
    <t>PC-PRO-DCE</t>
  </si>
  <si>
    <t>Encourager la prévision et l’installation de finitions sélectionnées par l’occupant du bâtiment afin d’éviter un gaspillage inutile de matériaux.</t>
  </si>
  <si>
    <t>Action</t>
  </si>
  <si>
    <t>Estimation du nombre de points atteignables</t>
  </si>
  <si>
    <t>Commentaire</t>
  </si>
  <si>
    <t>Coût H.T. (estimation)</t>
  </si>
  <si>
    <t>Responsable</t>
  </si>
  <si>
    <t>SPACE</t>
  </si>
  <si>
    <t>Oui</t>
  </si>
  <si>
    <t>Non</t>
  </si>
  <si>
    <t>SPACE O</t>
  </si>
  <si>
    <t>oui</t>
  </si>
  <si>
    <t>mission sous traitée</t>
  </si>
  <si>
    <t>Systèmes de transport
Consommation d'énergie</t>
  </si>
  <si>
    <t>Systèmes de transport
Caractéristiques d'économie en énergie</t>
  </si>
  <si>
    <t>Risques Naturels</t>
  </si>
  <si>
    <t>Performance acoustique pour les bâtiments résidentiels</t>
  </si>
  <si>
    <t>Adaptabilité - pour une projection de scénario de changement climatique</t>
  </si>
  <si>
    <t>Système de détection des fuites</t>
  </si>
  <si>
    <t>Un système de détection des fuites capable de détecter une fuite importante sur l’approvisionnement en eau principal du bâtiment, à l’intérieur du bâtiment, mais aussi entre le bâtiment et le compteur du fournisseur d’eau, est installé.</t>
  </si>
  <si>
    <t>Au moins 25 % des granulats de qualité supérieure utilisés (sur le projet) proviennent de granulats secondaires ou recyclés. Ce pourcentage peut être mesuré en masse ou en volume.</t>
  </si>
  <si>
    <t>Au moins 50%.</t>
  </si>
  <si>
    <t>Minimiser l’impact sur l’écologie existante du site</t>
  </si>
  <si>
    <t>Aucun fluide frigorigène</t>
  </si>
  <si>
    <t>Résilience face aux inondations</t>
  </si>
  <si>
    <t>Ruissellement de surface</t>
  </si>
  <si>
    <t>Le projet évalué ne cause aucun rejet dans le cas de précipitations inférieures à 5 mm.
Des mesures de prévention de la pollution appropriées sont mises en place pour les différentes sources de pollution présentes sur le site.
Un plan de drainage du site complet et à jour est mis à disposition des occupants du
bâtiment ou du site.
Des accords appropriés de maintenance existent vis-à-vis de la propriété, du fonctionnement à long terme et de l’entretien de la totalité des Systèmes de drainage (urbain) durables (SUDS) prévus.</t>
  </si>
  <si>
    <t>Minimiser la pollution des cours d’eau</t>
  </si>
  <si>
    <t>Réduction de la pollution sonore</t>
  </si>
  <si>
    <t>Une étude d’impact acoustique est effectuée et les niveaux de bruit suivants sont mesurés ou déterminés selon la série de normes ISO 1996.
Le niveau sonore du nouveau projet de site ou bâtiment, tel que mesuré à proximité de la construction la plus proche ou la plus exposée, présente une différence inférieure à + 5 dB durant la journée (de 7 h à 23 h) et + 3 dB durant la nuit (de 23 h à 7 h) par rapport au niveau de bruit de fond.</t>
  </si>
  <si>
    <t>3-8</t>
  </si>
  <si>
    <t>11-17</t>
  </si>
  <si>
    <t>8-10</t>
  </si>
  <si>
    <t>Accès sûr</t>
  </si>
  <si>
    <t>Bâtiment accessible</t>
  </si>
  <si>
    <t>Bâtiment accessible (résidentiel)</t>
  </si>
  <si>
    <t>Hea 09</t>
  </si>
  <si>
    <t>Espaces privés (résidentiel)</t>
  </si>
  <si>
    <t>Qualité de l'eau</t>
  </si>
  <si>
    <t>5-7</t>
  </si>
  <si>
    <t>8-9</t>
  </si>
  <si>
    <t>10-16</t>
  </si>
  <si>
    <t>Déclarations environnementales produit</t>
  </si>
  <si>
    <t>Réduction des déchets de construction</t>
  </si>
  <si>
    <t>1-8</t>
  </si>
  <si>
    <t>Terrain contaminé</t>
  </si>
  <si>
    <t>2-4</t>
  </si>
  <si>
    <t>Le terrain était occupé avant le démarrage du projet sur au moins 75% de la surface, (95% pour 2 points)</t>
  </si>
  <si>
    <t>Le terrain choisi est contaminé et une procédure de décontamination a été mise en place</t>
  </si>
  <si>
    <t>4-16</t>
  </si>
  <si>
    <t>Thème</t>
  </si>
  <si>
    <t>Pondération</t>
  </si>
  <si>
    <t>7-9</t>
  </si>
  <si>
    <t>Jusqu'à 4 points : bilan de zéro émissions de CO₂
5 points : bilan positif énergie consommée, énergie produite</t>
  </si>
  <si>
    <t>Bâtiment inclusif dans son ensemble. Plus particulièrement pour: les personnes à mobilité réduite, toutes les tranches d'âge, origine, genre, forme physique, les personnes accompagnées d'enfants. Voir checklist A3</t>
  </si>
  <si>
    <t>Conception minimisant le risque de contamination microbienne dans le système de distribution d'eau.
Mise à disposition d'eau potable saine dans tous les espaces occupés de façon permanente</t>
  </si>
  <si>
    <t>Pour les systèmes de transport neufs, une analyse de la demande de transport a été effectuée pour déterminer le nombre et la taille optimum des ascenseurs.
La consommation énergétique a été estimée conformément à la norme ISO/DIS 25745, pour l’un des éléments suivants :
- Au moins deux types de systèmes (pour chacun des types de transport prévus) ;
OU
- Une combinaison de systèmes (par ex. pour les ascenseurs ou monte-charges, hydraulique, par traction, sans local machinerie (MRL)) ;
OU
- Une stratégie de systèmes « adaptée à l’utilisation ».
Le système de transport à la consommation énergétique la plus basse est retenu.
L’emploi d’un système d’entraînement régénératif est à considérer si l'économie est supérieure à sa consommation en veille.</t>
  </si>
  <si>
    <r>
      <t xml:space="preserve">Pour chaque ascenseur neuf, les 3 caractéristiques éco énergétiques suivantes sont prévues (2 des 3 pour les machines existantes) :
</t>
    </r>
    <r>
      <rPr>
        <b/>
        <sz val="11"/>
        <color theme="1"/>
        <rFont val="Calibri"/>
        <family val="2"/>
        <scheme val="minor"/>
      </rPr>
      <t xml:space="preserve">- </t>
    </r>
    <r>
      <rPr>
        <sz val="11"/>
        <color theme="1"/>
        <rFont val="Calibri"/>
        <family val="2"/>
        <scheme val="minor"/>
      </rPr>
      <t>Au cours des périodes creuses, l’ascenseur se met en état de veille, par ex. la partie des commandes de l’ascenseur alimentée à l’électricité et d’autres équipements de fonctionnement, tels que l’éclairage de la cabine, l’affichage lumineux pour les usagers et la ventilation, s’arrêtent lorsque l’ascenseur n’a pas été utilisé pendant une durée donnée.
- L’ascenseur dispose d’un éclairage et d’un affichage lumineux d’une efficacité lumineuse moyenne supérieure à 55 lumens par Watt.
- L’ascenseur dispose d’un système de contrôle à vitesse variable, d’un variateur de tension et d’un variateur de fréquence pour le  moteur.
Lorsqu’il est prouvé que l’emploi d’entraînements régénératifs pourra économiser de l’énergie, ceux-ci sont prévus.</t>
    </r>
  </si>
  <si>
    <t>L’intégralité du bois d’œuvre et des produits utilisant du bois employés au cours du processus de construction du projet est du « bois d’œuvre abattu et commercialisé légalement »</t>
  </si>
  <si>
    <t>Agrégats recyclés</t>
  </si>
  <si>
    <t>Terrain précédemment occupé</t>
  </si>
  <si>
    <t>Les équipements installés pour répondre à la demande du bâtiment en chauffage et en eau chaude présentent, dans des conditions normales de fonctionnement, des niveaux d’émission de NOx secs (mesurés avec 0 % d’excès d’O2) comme suit :
≤ 56 mg/kWh pour 1 crédit
≤ 40 mg/kWh pour 2 crédits</t>
  </si>
  <si>
    <t>Il n’y a pas d’augmentation des surfaces imperméables due au projet, et un contrat de maintenance est prévu pour les systèmes de gestion des eaux pluviales. La réglementation est respectée en prenant en compte un scénario de pluie intégrant le changement climatique.</t>
  </si>
  <si>
    <t xml:space="preserve">Emissions de NOx </t>
  </si>
  <si>
    <t>Inséré dans PROG ENV</t>
  </si>
  <si>
    <t>Wst 01</t>
  </si>
  <si>
    <t>Wst 06</t>
  </si>
  <si>
    <t>Consultation des tierces parties</t>
  </si>
  <si>
    <t>Mesure de la qualité de l'air intérieur post-construction</t>
  </si>
  <si>
    <t>Approvisionnement responsable en matériaux de construction</t>
  </si>
  <si>
    <t>Mener un audit préalable à la démolition pour identifier les éventuels potentiels de réutilisation et les différentes typologies de déchets.</t>
  </si>
  <si>
    <t>Rédiger un plan d'approvisionnement responsable, qui impose à l'entreprise d'utiliser, pour les produits représentant les plus gros volumes, des produits provenant d'usines certifiées (type ISO 14001 / FSC / PEFC,..)</t>
  </si>
  <si>
    <t>Optimiser l'enveloppe du bâtiment à partir des enseignements de la simulation thermique dynamique. (réalisation de la simulation en phase amont)</t>
  </si>
  <si>
    <t xml:space="preserve">Prouver, via simulation, l'obtention des conditions de confort thermique en prenant pour hypothèse le scénario de réchauffement climatique A1B du GIEC à horizon +15 ans </t>
  </si>
  <si>
    <t>Mettre en place une stratégie d'adaptabilité du projet. (envisager un remplacement de la façade et des équipements techniques de production)</t>
  </si>
  <si>
    <t>Nombre de points atteignables</t>
  </si>
  <si>
    <t>Consulter l'ambassade d'Espagne, et les copropriétés adjacentes sur la base d'un descriptif du projet. Prendre en compte leurs retours dans la mesure du possible.</t>
  </si>
  <si>
    <r>
      <t xml:space="preserve">Mesurer la qualité de l'air post-construction. Obtenir des niveaux de Formaldéhyde </t>
    </r>
    <r>
      <rPr>
        <sz val="11"/>
        <color theme="1"/>
        <rFont val="Calibri"/>
        <family val="2"/>
      </rPr>
      <t>≤ 100 µg/m</t>
    </r>
    <r>
      <rPr>
        <vertAlign val="superscript"/>
        <sz val="11"/>
        <color theme="1"/>
        <rFont val="Calibri"/>
        <family val="2"/>
      </rPr>
      <t>3</t>
    </r>
    <r>
      <rPr>
        <sz val="11"/>
        <color theme="1"/>
        <rFont val="Calibri"/>
        <family val="2"/>
      </rPr>
      <t xml:space="preserve"> et de COVT ≤ 300 µg/m</t>
    </r>
    <r>
      <rPr>
        <vertAlign val="superscript"/>
        <sz val="11"/>
        <color theme="1"/>
        <rFont val="Calibri"/>
        <family val="2"/>
      </rPr>
      <t>3</t>
    </r>
    <r>
      <rPr>
        <sz val="11"/>
        <color theme="1"/>
        <rFont val="Calibri"/>
        <family val="2"/>
      </rPr>
      <t>.</t>
    </r>
  </si>
  <si>
    <t>Des espaces dédiés sont fournis pour le tri et le stockage des déchets d'exploitation recyclables
des compacteurs et compost sont mis en place si les flux de déchets le justifient.</t>
  </si>
  <si>
    <t>1er crédit : le débit de fuite n'est pas supérieur à celui d'avant le projet. Il n’y a pas d’augmentation des volumes de ruissellement dus au projet, et un contrat de maintenance est prévu pour les systèmes de gestion des eaux pluviales. La réglementation est respectée en prenant en compte un scénario de pluie intégrant le changement climatique.</t>
  </si>
  <si>
    <t>Applicable</t>
  </si>
  <si>
    <t>% par crédit</t>
  </si>
  <si>
    <t>Pondération BREEAM Project</t>
  </si>
  <si>
    <t>Management</t>
  </si>
  <si>
    <t>Health and Wellbeing</t>
  </si>
  <si>
    <t>Energy</t>
  </si>
  <si>
    <t>Score BREEAM</t>
  </si>
  <si>
    <t>Maximum</t>
  </si>
  <si>
    <t>Transport</t>
  </si>
  <si>
    <t>&lt;-Pass-&gt;</t>
  </si>
  <si>
    <t>Water</t>
  </si>
  <si>
    <t>&lt;-Good-&gt;</t>
  </si>
  <si>
    <t>&lt;-Very Good-&gt;</t>
  </si>
  <si>
    <t>&lt;-Excellent-&gt;</t>
  </si>
  <si>
    <t>&lt;-Outstanding-&gt;</t>
  </si>
  <si>
    <t>Materials</t>
  </si>
  <si>
    <t>Waste</t>
  </si>
  <si>
    <t>Land Use and ecology</t>
  </si>
  <si>
    <t>Pollution</t>
  </si>
  <si>
    <t>Innovation</t>
  </si>
  <si>
    <t>Commissionnement - mise en route</t>
  </si>
  <si>
    <t>Commissionnement - première année</t>
  </si>
  <si>
    <t>Scénario 1</t>
  </si>
  <si>
    <t>Scénario 2</t>
  </si>
  <si>
    <t>Scénario 3</t>
  </si>
  <si>
    <t>Performance énergétique</t>
  </si>
  <si>
    <t>4-7</t>
  </si>
  <si>
    <t>29 600 €HT</t>
  </si>
  <si>
    <t>Planning du projet</t>
  </si>
  <si>
    <t>10-12</t>
  </si>
  <si>
    <t>17-18</t>
  </si>
  <si>
    <t>Essais et inspection de l'enveloppe</t>
  </si>
  <si>
    <t>11-12</t>
  </si>
  <si>
    <t>Planning de transition zéro carbone</t>
  </si>
  <si>
    <t>Ene 02X</t>
  </si>
  <si>
    <t>Score de prédiction énergétique opérationnelle</t>
  </si>
  <si>
    <t>13</t>
  </si>
  <si>
    <t>6-8</t>
  </si>
  <si>
    <t>Optimisation de la forme du bâtiment</t>
  </si>
  <si>
    <t>Optimisation de l'enveloppe du bâtiment</t>
  </si>
  <si>
    <t>Production d'énergie bas carbone</t>
  </si>
  <si>
    <t xml:space="preserve">Performance énergétique des équipements </t>
  </si>
  <si>
    <t>Hazards</t>
  </si>
  <si>
    <t>Fully Fitted</t>
  </si>
  <si>
    <t>Non residential weighting France</t>
  </si>
  <si>
    <t>Shell only</t>
  </si>
  <si>
    <t>Shell and core</t>
  </si>
  <si>
    <t>Eclairement naturel</t>
  </si>
  <si>
    <t>Hea 01X</t>
  </si>
  <si>
    <t>Evaluation de l'éblouissement en lumière naturelle</t>
  </si>
  <si>
    <t>Eclairement naturel exemplaire</t>
  </si>
  <si>
    <t>10-11</t>
  </si>
  <si>
    <t>Zonage et commande de l'éclairage</t>
  </si>
  <si>
    <t>Qualité d'éclairage
interne et externe</t>
  </si>
  <si>
    <t>Niveau exemplaire - contrôle de l'éclairage</t>
  </si>
  <si>
    <t>Effets non visuels de la lumière</t>
  </si>
  <si>
    <t>3-7</t>
  </si>
  <si>
    <t>Mesures de qualité de l'air</t>
  </si>
  <si>
    <t>Exemplaire Niveaux d'émission de composés organiques volatils (COV) (produits)</t>
  </si>
  <si>
    <t>Hea 04X</t>
  </si>
  <si>
    <t>Modélisation thermique - climat actuel</t>
  </si>
  <si>
    <t>Modélisation thermique - climat futur</t>
  </si>
  <si>
    <t>Zonages et contrôles thermiques</t>
  </si>
  <si>
    <t>Hea 10</t>
  </si>
  <si>
    <t>11-13</t>
  </si>
  <si>
    <t>Hea 11</t>
  </si>
  <si>
    <t>Stratégie énergétique</t>
  </si>
  <si>
    <t>Modélisation énergétique prédictive</t>
  </si>
  <si>
    <t>Performance énergétique des systèmes</t>
  </si>
  <si>
    <t>Réponse flexible à la demande</t>
  </si>
  <si>
    <t>Evaluation de l'accessiblité en transport et plan de déplacement</t>
  </si>
  <si>
    <t>Wat 05</t>
  </si>
  <si>
    <t>Estimation de la consommation d'eau du bâtiment</t>
  </si>
  <si>
    <t>Wat 05X</t>
  </si>
  <si>
    <t>Calcul détaillé de la consommation d'eau future</t>
  </si>
  <si>
    <t>Valider les crédit Wat02 et Wat05.
Annoncer un objectif de consommation d'eau aux parties prenantes du projet.
Mesurer les consommations d'eau pendant au moins un an après occupation.</t>
  </si>
  <si>
    <t>Analyse du cycle de vie - APS</t>
  </si>
  <si>
    <t>Analyse du cycle de vie - APD-PRO</t>
  </si>
  <si>
    <t>Analyse du cycle de vie - fin de chantier</t>
  </si>
  <si>
    <t>Faire vérifier l'ACV à chaque phase du projet par un tiers (APS / PRO / fin de chantier)</t>
  </si>
  <si>
    <t xml:space="preserve">Prescrire des produits couverts par de la données environnementale individuelle ou collective, pour 20 points. 4 points maximum par type de matériau (Bois, béton, pierre, métal, …) (Cela représente au moins 40 produits en FDES collective). </t>
  </si>
  <si>
    <t>Le projet fait appel à un outil d'analyse du cycle de vie (ACV) pour orienter les choix de conception en phase de début de conception</t>
  </si>
  <si>
    <t>Le projet fait appel à un outil d'analyse du cycle de vie (ACV) sur la base des informations de fin de chantier (DOE)</t>
  </si>
  <si>
    <t>Le niveau carbone du projet est en classe A selon les seuils du BRE.</t>
  </si>
  <si>
    <t>Rendre public les résultats des ACV à chaque phase.</t>
  </si>
  <si>
    <t>Les points s'obtiennent en mettant en œuvre une politique d'achat de matériaux responsables (dont la filière de production et de distribution est certifiée) pour le projet. (3 niveaux possibles suivant si 10%, 20% ou 30% des points disponibles ont été obtenus)</t>
  </si>
  <si>
    <t>Obtenir plus de 50% des points disponible sur le MAT03</t>
  </si>
  <si>
    <t>Reconnaître et encourager les mesures d’optimisation de l’efficacité des matériaux pour minimiser les impacts environnementaux de l’utilisation des matériaux et des déchets sans compromettre la stabilité structurelle, la durabilité ou la durée de vie utile du bâtiment. Doit être traité à chaque phase de projet.</t>
  </si>
  <si>
    <t>Audit pré-démolition</t>
  </si>
  <si>
    <t>4-8</t>
  </si>
  <si>
    <t>Si applicable, effectuer un audit préalable à la démolition.</t>
  </si>
  <si>
    <t>Mettre en place des procédures pour réduire la production des déchets de chantier (avec des objectifs)
Mettre en place des procédures pour trier, réutiliser et recycler les déchets de chantier non dangereux, pour au moins 5 groupes de déchets définis.</t>
  </si>
  <si>
    <t>Obtenu par la validation de Hea05 critère 6, Hea10, Ene04 conception passive, Wat 01 au moins 3 crédits, Mat05 critère 2, Pol3 inondations &amp; ruissellement de surface</t>
  </si>
  <si>
    <t>Démontage et adaptabilité - recommandations</t>
  </si>
  <si>
    <t>Démontage et adaptabilité - implémentation</t>
  </si>
  <si>
    <t>Une étude de la stratégie d’adaptabilité fonctionnelle spécifique au bâtiment a été menée par le client et l’équipe conception avant la fin de la phase conception et comporte des recommandations de mesures à mettre en place pour faciliter une future adaptation et le désassemblage du bâtiment.</t>
  </si>
  <si>
    <t>Mise en place des recommandations d'adaptation et de désassemblage du bâtiment.
Rédaction d'un guide pour le démontage du bâtiment.</t>
  </si>
  <si>
    <t>3-5</t>
  </si>
  <si>
    <t>Les crédit LE2 sont évalués en considérant un périmètre plus large que le site. Au moins une mesure de conception démontre un service rendu à l'écosystème.</t>
  </si>
  <si>
    <t>Etude de site et évaluation</t>
  </si>
  <si>
    <t>Détermination des objectifs écologiques</t>
  </si>
  <si>
    <t>Décision de projet en phase initiale des objectifs écologique principaux et des moyens pour les atteindre. (avec ou sans écologue selon les enjeux identifiés</t>
  </si>
  <si>
    <t xml:space="preserve">Un écologue a été nommé dans l'équipe, il effectue un diagnostic du site et propose des recommandations appropriées. </t>
  </si>
  <si>
    <t>Amélioration de la valeur écologique du site supérieure à 20%</t>
  </si>
  <si>
    <t>Amélioration de la valeur écologique du site supérieure à 0% (1point), à 5% (2 points), à 10% (3 points). Calcul et amélioration de l'UGF en site urbain (1 points)</t>
  </si>
  <si>
    <t>Livraison au propriétaire ou à l'occupant</t>
  </si>
  <si>
    <t>Une section sur l'écologie et la biodiversité est insérée dans le livret fourni à l'occupant ou au propriétaire. Ceci doit être différent du plan de gestion écologique.</t>
  </si>
  <si>
    <t>Un écologue établi un plan de gestion du paysage adapté au site, pour les 5 premières années de vie du bâtiment, ainsi que pour les 25 années suivantes.</t>
  </si>
  <si>
    <t>Tous les systèmes (dotés de compresseurs électriques) doivent respecter les exigences de la norme EN 378:2008+A2:2012 (parties 2 et 3) ou de la norme ISO 5149:2014 et, dans le cas où les systèmes de réfrigération contiennent de l’ammoniac, le Code de bonnes pratiques de l’Institute of Refrigeration Ammonia Refrigeration Systems. ODP nul obligatoire.</t>
  </si>
  <si>
    <t>Les équipements installés pour répondre à la demande du bâtiment en chauffage et en eau chaude présentent, dans des conditions normales de fonctionnement, des niveaux d’émission de NOx secs (mesurés avec 0 % d’excès d’O2) comme suit :
≤ 56 mg/kWh pour 1 crédit (27 en zone dense)
≤ 27 mg/kWh pour 2 crédits (24 en zone dense)
3 crédits si pas de combustion sur site pour le chauffage et l'ECS.</t>
  </si>
  <si>
    <t>Sureté du site et du bâtiment</t>
  </si>
  <si>
    <t>Outstanding</t>
  </si>
  <si>
    <t>Good</t>
  </si>
  <si>
    <t>Mener une évaluation rigoureuse de l'impact des conditions météorologiques extrêmes attendues. Cette étude doit couvrir les équipements techniques (CVC, systèmes renouvelables), ainsi que la structure et l'enveloppe du bâtiment.
Intégrer des dispositifs de mitigation directement dans les plans (ex: surélévation des équipements techniques contre les inondations, renforcement de l'isolation pour le confort d'été, choix de matériaux résistants à la corrosion ou aux vents violents).</t>
  </si>
  <si>
    <t>Hea 07x</t>
  </si>
  <si>
    <t>Le projet fait appel à un outil d'analyse du cycle de vie (ACV) en phase APD ou PRO et analyse les évolutions avec la phase précédente</t>
  </si>
  <si>
    <t>1. Un programme de durabilité clair est développé avant l'achèvement de la conception initiale qui définit :
1.a. Les exigences du client, par exemple les conditions environnementales internes requises
1.b. Les objectifs et les cibles de durabilité comprenant le classement BREEAM visé, les objectifs de l'entreprise, etc.
1.c. Délais et budget
1.d. Liste des personnes consultées et les rendez-vous professionnels qui peuvent être requis, par exemple acousticien qualifié, etc.
1.e. Contraintes pour le projet, par exemple techniques, juridiques, physiques, environnementales.
2. Avant la finalisation de la conception préliminaire, l'équipe projet (client, équipe de conception et entrepreneur principal (voir M1 si non encore désigné)) se réunit afin de discuter, d'identifier et de définir les rôles, les responsabilités et les contributions pour chaque phase clé du projet. Lors de la définition des responsabilités, les points suivants doivent être pris en compte :
2.a. Besoins des utilisateurs du bâtiment.
2.b. Objectifs et stratégie de conception.
2.c. Exigences et contraintes particulières liées à l'installation et à la construction.
2.d. Évaluations des risques liés à la conception et à la construction, par exemple la réglementation nationale en matière de santé et de sécurité ou les meilleures pratiques, l'évaluation des risques de légionellose.
2.e. Exigences législatives, par exemple la réglementation locale en matière de construction, les exigences relatives au patrimoine.
2.f. Objectifs de développement durable du projet.
2.g. Mesures de protection écologique (le cas échéant).
2.h. Approvisionnement et chaîne logistique : approvisionnement responsable et éthique.
2.i. Identification et mesure de la réussite du projet conformément aux objectifs du cahier des charges. 2.j Budget et expertise technique du gestionnaire ou des occupants de l'immeuble en matière de maintenance des systèmes proposés.
2.k. Maintenabilité et adaptabilité des propositions.
2.l. Exigences relatives à la production de la documentation de projet et de la documentation destinée à l'utilisateur final.
2.m. Exigences relatives à la mise en service, à la formation et au support après-vente
3.L'équipe de projet démontre comment les contributions des parties prenantes à la réalisation du projet et leurs apports au processus de conception ont influencé les éléments suivants :
3.a. Cahier des charges initial
3.b. Plan d'exécution du projet
3.c. Stratégie de communication
3.d. Conception préliminaire
3.e. Conception finale (après construction)</t>
  </si>
  <si>
    <t>4. Avant l'achèvement de la phase de conception initiale, tous les tiers concernés ont été consultés par l'équipe de conception.
5. Le projet doit démontrer de manière concise comment les contributions des parties intéressées et les résultats de la consultation ont influencé ou modifié le cahier des charges initial et la conception préliminaire ; et comment ces modifications ont été intégrées à la conception finale après la construction.
6. Avant l’achèvement de la conception détaillée (conception technique ou équivalent), les commentaires recueillis lors de la consultation ont été transmis à toutes les parties concernées et reçus par elles.</t>
  </si>
  <si>
    <t>7. Un responsable durabilité a été désigné pour faciliter l'établissement et la réalisation d'objectifs de performance BREEAM pour le projet. Leur implication doit intervenir dès le début du processus de conception (voir M3.2) afin de :
7.a Collaborer avec l’équipe projet, y compris le client, pour examiner les liens entre les enjeux BREEAM et les aider à optimiser la performance globale du projet au regard de BREEAM, dès leur nomination et tout au long de la phase de conception préliminaire.
7.b Suivre l’avancement par rapport aux objectifs de performance convenus à toutes les étapes suivant leur nomination, lorsque leurs décisions ont un impact critique sur la performance BREEAM.
7.c Identifier de manière proactive les risques et les opportunités liés à l’atteinte des objectifs convenus.
7.d Fournir un retour d'information approprié à l'équipe projet afin de l'aider à prendre des mesures correctives et à atteindre ses objectifs de performance convenus.
7.e Suivre et, le cas échéant, coordonner la production des preuves appropriées par l'équipe projet.
8. Les objectifs de performance BREEAM définis ont été formellement convenus entre le client et l'équipe de conception ou projet au plus tard au stade de la conception préliminaire.
9. Pour obtenir ce crédit lors de l'évaluation intermédiaire de la conception, les objectifs de performance BREEAM convenus doivent être démontrés par la conception du projet. Ceci doit être démontré par le rapport d'évaluation de l'évaluateur BREEAM à l'étape de la conception.</t>
  </si>
  <si>
    <t>10. Obtenir la certification BREEAM AP – Conception préliminaire (critères 7 à 9).
11. Un professionnel BREEAM Advisory Professional (AP) a été désigné pour suivre l'avancement du projet par rapport aux objectifs de performance BREEAM convenus tout au long du processus de conception et pour rendre compte formellement de cet avancement au client et à l'équipe de conception. Il doit :
11.a Collaborer avec l'équipe projet, y compris le client, afin d'examiner les liens entre les problématiques BREEAM et de les aider à
optimiser la performance globale du projet par rapport à BREEAM tout au long de la phase de conception détaillée.
11.b Suivre l'avancement du projet par rapport aux objectifs de performance convenus au titre du critère 8 à toutes les étapes où les décisions ont un impact critique sur le cahier des charges, le processus d'appel d'offres et la performance BREEAM.
11.c Identifier de manière proactive les risques et les opportunités liés à l'atteinte des objectifs convenus au titre du critère 8.
11.d Fournir un retour d'information à l'équipe projet, le cas échéant, afin de l'aider à prendre des mesures correctives et à atteindre ses objectifs de performance convenus.
11.e Suivre et, le cas échéant, coordonner la production des éléments de preuve pertinents par l'équipe projet. 
12 Le professionnel accrédité BREEAM AP – Conception doit participer aux réunions clés de l’équipe projet et de conception pendant les phases de conception préliminaire, de conception développée et de conception technique. Un rapport doit être établi pendant et avant la fin de chaque phase, au minimum.</t>
  </si>
  <si>
    <t>1. Une personne compétente réalise une évaluation préliminaire et une évaluation complète des options de coût du cycle de vie (CCV) des éléments de l'actif (au moins deux) au stade de la conception préliminaire, conformément à la norme ISO 15686-5:2017.
2. Le plan CCV des éléments :
2.a. Fournit une indication des coûts de remplacement futurs sur une période d’analyse définie par le client (par exemple, 20, 30, 50 ou 60 ans).
2.b. Comprend des estimations de la durée de vie, de la maintenance et des coûts d’exploitation.
3. Démontrer, à l'aide d'exemples appropriés fournis par l'équipe de conception, comment le plan LCC élémentaire a été utilisé pour influencer la conception et la spécification des bâtiments et des systèmes afin de minimiser les coûts du cycle de vie et de maximiser la valeur critique.</t>
  </si>
  <si>
    <t>4. Une personne compétente réalise une évaluation des options d'analyse du coût du cycle de vie (ACV) au niveau des composants (au moins deux) à la fin de la phase de conception technique (équivalente à la phase 4 du processus), conformément à la norme ISO 15686-5:2017. Cette évaluation inclut les types de composants suivants (le cas échéant) :
4.a Enveloppe (par exemple, bardage, fenêtres ou toiture).
4.b Services (par exemple, source de chaleur, source de refroidissement ou systèmes de contrôle, y compris les systèmes de contrôle d'éclairage intelligents par rapport aux systèmes de contrôle standard).
4.c Finitions (par exemple, murs, sols ou plafonds).
4.d Espaces extérieurs (par exemple, aménagements paysagers alternatifs, protection des limites de propriété).
5. Démontrer, à l'aide d'exemples appropriés fournis par l'équipe de conception, comment l'évaluation des options LCC au niveau des composants a été utilisée pour influencer la conception et la spécification des bâtiments et des systèmes afin de minimiser les coûts du cycle de vie et de maximiser la valeur critique.</t>
  </si>
  <si>
    <t>6. Indiquez le coût d’investissement du bâtiment par unité de surface intérieure brute.</t>
  </si>
  <si>
    <t>1. Tous les produits en bois et à base de bois utilisés dans le projet sont certifiés « Bois légalement récoltés et négocié » (FSC - PEFC)
2. L’ensemble de la législation et de la réglementation nationales en matière de santé et de sécurité sur les chantiers de construction sont prises en compte et mises en œuvre à toutes les phases du projet (voir CN1 page 58) :
2.a Conception de l’ouvrage : afin de minimiser les risques pour la santé et la sécurité.
2.b Planification et organisation des travaux préalables à la construction : afin de recueillir les informations relatives à la santé et à la sécurité auprès de toutes les parties prenantes concernées.
2.c Aménagement du chantier : afin de mettre en place les dispositifs de santé et de sécurité.
2.d Construction : afin de gérer, de contrôler et de rendre compte de la santé et de la sécurité du personnel du chantier. Ces informations doivent être synthétisées dans un rapport.</t>
  </si>
  <si>
    <t>11-16</t>
  </si>
  <si>
    <t>10. Attribuer la responsabilité de la surveillance du site à une personne nommée. Il s’agit d’une condition préalable à l’attribution de crédits pour la surveillance du site décrits ci-dessous. La personne responsable doit avoir l’autorité et l’expérience appropriées pour accéder aux données requises. Cela peut être le BREEAM AP, lorsqu'il a été nommé. Il sera tenu de surveiller, enregistrer et communiquer les données (lorsqu’elles sont mesurées) sur la consommation d’énergie, d’eau et de transport résultant de tous les processus de construction sur site (et de fabrication dédiée hors site) tout au long du programme de construction.</t>
  </si>
  <si>
    <t>3. Toutes les parties intervenant sur le chantier, à quelque étape que ce soit, doivent mettre en œuvre un système de management environnemental (SME) couvrant leurs principales activités. Ce SME doit être certifié par un organisme tiers selon la norme ISO 14001, EMAS (Système européen de management environnemental et d'audit) ou une norme équivalente.
4. Toutes les parties intervenant sur le chantier, à quelque étape que ce soit (par exemple, l'entrepreneur principal ou l'entreprise de démolition) doivent mettre en œuvre sur le site les meilleures pratiques en matière de prévention de la pollution, conformément aux politiques et procédures établies. Pour démontrer leur conformité, l'équipe projet doit compléter la liste de contrôle figurant dans le tableau 11, page 56, en indiquant comment l'objectif de chaque section (par exemple, la qualité de l'air) a été atteint, même par des moyens différents de ceux suggérés. Pour l'alignement avec la taxonomie européenne, veuillez vous référer à M5.</t>
  </si>
  <si>
    <t>5. Le client doit convenir formellement avec l'entrepreneur des objectifs de performance relatifs à la certification BREEAM qui ont été fixés pour le projet.
6. Un accréditeur BREEAM (AP) doit être impliqué dans le projet au moment opportun et au niveau approprié afin de garantir l'atteinte des objectifs de performance convenus. Plus précisément, l'accréditeur doit :
6.a. Collaborer avec l'équipe projet, y compris le client, pour l'aider à optimiser la performance par rapport aux objectifs convenus tout au long de la construction, de la réception et de la clôture du projet. Cet accompagnement comprendra la prise en compte des liens entre les critères qui doivent être respectés dans tous les domaines du projet évalués par BREEAM (par exemple, Management, Énergie, Écologie, etc.), en allant au-delà des intentions de conception chaque fois que cela est possible.
6.b. Suivre l'avancement par rapport aux objectifs de performance convenus à toutes les étapes de la construction, en accordant une attention particulière aux décisions susceptibles d'avoir un impact critique sur la performance BREEAM, et en conservant tous les documents nécessaires à l'évaluation.
6.c. Identifier de manière proactive les risques et les opportunités liés aux processus d'approvisionnement et de construction, ainsi qu'à l'atteinte des objectifs convenus au titre du critère 5.
6.d Fournir un retour d'information rapide et régulier à l'entrepreneur et à l'équipe projet afin d'aider le projet à rester sur la bonne voie pour atteindre ses objectifs et de soutenir la mise en œuvre des actions correctives nécessaires.
6.e Le cas échéant, coordonner et aider l'équipe projet à fournir à l'évaluateur les éléments de preuve nécessaires à l'obtention des crédits.
7 Pour obtenir ce crédit lors de l'évaluation finale post-construction, le rapport de l'évaluateur soumis doit démontrer qu'un professionnel accrédité BREEAM a été désigné et que les objectifs de performance convenus ont été atteints de manière probante par le projet.</t>
  </si>
  <si>
    <t>Gestion responsable de la construction</t>
  </si>
  <si>
    <t>Conseiller BRREAM (AP)</t>
  </si>
  <si>
    <t>8. Pour les projets de petite envergure ou les maisons individuelles :
8.a L’entrepreneur doit satisfaire aux exigences des points f, h, i, j et m (tels qu’ils figurent dans le tableau 10) pour obtenir un crédit.
8.b Si l’entrepreneur satisfait aux exigences des points cochés comme « requis pour un crédit (pour les projets standard) » dans le tableau 10, le projet de petite envergure ou la maison individuelle peut obtenir deux crédits.
9. Tous les bâtiments qui ne sont pas définis comme des projets à petite échelle ou des maisons individuelles sont considérés comme des projets standards et les crédits sont attribués comme suit :
9.a Tous les éléments cochés comme « requis pour un crédit (pour les projets standards) » dans le tableau 10 doivent être remplis pour qu’un crédit soit attribué.
9.b Les projets qui remplissent le critère 9.a ainsi que six autres éléments du tableau 10 peuvent se voir attribuer un deuxième crédit.</t>
  </si>
  <si>
    <t>11. Définir, dès la phase de conception, des objectifs de consommation énergétique du chantier en kWh (et, le cas échéant, en litres de carburant utilisés) résultant de l'utilisation des engins de chantier, des équipements (mobiles et fixes) et des installations de chantier.
12. Suivre et enregistrer les données relatives à la consommation énergétique décrite au critère 11 et démontrer que les objectifs de consommation ont été atteints.
13. Rendre compte des émissions totales de dioxyde de carbone (kgCO₂e) et de la consommation énergétique (électricité en kWh et litres de carburant) résultant du processus de construction.
14. Définir, dès la phase de conception, des objectifs de consommation d'eau potable (m³) liés à l'utilisation des engins de chantier, des équipements (mobiles et fixes) et des installations de chantier.
15. Suivre et enregistrer les données relatives à la consommation d'eau potable décrite au critère 14 et démontrer que les objectifs de consommation ont été atteints.
16. Utiliser les données collectées pour établir le calcul de la consommation nette totale d'eau résultant du processus de construction (m³), c'est-à-dire la consommation moins l'utilisation d'eau recyclée.</t>
  </si>
  <si>
    <t>17. Définir des objectifs dès la phase de conception et surveiller et enregistrer les données relatives aux mouvements de transport et autres impacts résultant de la livraison de la majorité des matériaux de construction sur le chantier et de l'évacuation des déchets de construction (voir M4). Ce suivi doit au minimum couvrir :
17.a Le transport des matériaux du point d'approvisionnement au chantier, y compris le transport, le stockage intermédiaire et la distribution.
17.b Le périmètre de ce suivi doit couvrir au minimum les matériaux utilisés pour les éléments suivants :
17.b.i La superstructure, telle qu'indiquée dans le tableau 73 du document 03.
17.b.ii Les finitions intérieures, telles qu'indiquées dans le tableau 74 du document 03.
17.b.iii Les infrastructures et les aménagements extérieurs, tels qu'indiqués dans le tableau 75 du document 03.
17.b.iv Services essentiels du bâtiment, tels qu'ils figurent au tableau 76 du document 03.
17.c Transport des déchets de construction depuis le point de départ du chantier jusqu'au site de traitement ou au centre de valorisation. Le suivi doit couvrir les catégories de déchets de construction décrites dans le plan de gestion des déchets du projet.
18. À partir des données collectées, établir un rapport distinct pour les matériaux et les déchets, indiquant les émissions totales de dioxyde de carbone liées au transport (kgCO₂e), ainsi que la distance totale parcourue (km) et la quantité de carburant utilisée (litres).</t>
  </si>
  <si>
    <t>Suivi des impacts chantier - transport des matériaux de construction et des déchets</t>
  </si>
  <si>
    <t>19. Atteindre l'ensemble des items de la table 10.</t>
  </si>
  <si>
    <t>Calendrier et responsabilité</t>
  </si>
  <si>
    <t>1. Élaborer un calendrier de mise en service et d'essais. Ce calendrier doit définir et inclure un échéancier approprié pour la mise en service et la remise en service de tous les systèmes techniques et de contrôle du bâtiment, complexes et non complexes, et pour les essais et l'inspection de l'enveloppe du bâtiment.
2. Le calendrier doit préciser les normes applicables auxquelles toutes les activités de mise en service seront conformes. Il s'agira notamment des codes de bonnes pratiques nationaux en matière de mise en service ou d'autres normes pertinentes, le cas échéant. Voir CN1. Tout équipement lié aux procédés ou à la fabrication, spécifié dans le cadre du projet, peut être exclu de l'évaluation, sauf s'il fait partie intégrante des services CVC du bâtiment, comme certains systèmes de récupération de chaleur.
3. Lorsqu'un système de gestion technique du bâtiment (GTB) est spécifié :
3.a. Procéder à la mise en service des systèmes d'air et d'eau une fois que tous les dispositifs de contrôle sont installés, câblés et fonctionnels.
3.b. Inclure les mesures physiques des températures ambiantes, des températures hors serpentin et autres paramètres clés, le cas échéant, dans les résultats de la mise en service.
3.c. L'installation GTB ou de contrôle doit fonctionner en mode automatique avec des conditions internes satisfaisantes avant la réception.
3.d. Tous les schémas et graphiques de la GTB (le cas échéant) sont entièrement installés et fonctionnels pour l'interface utilisateur avant la réception.
3.e. Former pleinement l'occupant ou l'équipe technique à l'utilisation du système.
4. Désigner un membre approprié de l'équipe projet pour surveiller et programmer la pré-mise en service, la mise en service et les essais. Le cas échéant, inclure les activités de remise en service pour le compte du client. 
5. L’entrepreneur principal intègre le programme de mise en service et d’essais, les responsabilités et les critères dans son budget et le programme principal des travaux. Le programme doit prévoir le temps nécessaire à la réalisation de toutes les activités de mise en service.
et d’essais avant la réception.</t>
  </si>
  <si>
    <t>6. Respecter le calendrier et les responsabilités (critères 1 à 5).
7. Pendant la phase de conception, le client ou l'entrepreneur principal désigne un membre approprié de l'équipe projet (voir critère 4), à condition qu'il ne participe pas aux travaux d'installation générale des systèmes techniques du bâtiment, avec les responsabilités suivantes :
7.a. Réaliser des revues de conception et fournir des conseils visant à optimiser le processus de mise en service.
7.b. Apporter son expertise en matière de gestion de la mise en service à la planification des travaux et pendant les phases d'installation.
7.c. Gérer la mise en service, les essais de performance et les phases de réception ou de post-réception.
Pour les bâtiments dotés de systèmes et de services techniques complexes, ce rôle doit être assuré par un responsable de la mise en service spécialisé.</t>
  </si>
  <si>
    <t>8. Respecter le calendrier et les responsabilités (critères 1 à 5).
9. Réaliser les essais et inspections post-construction afin de garantir l'intégrité de l'enveloppe du bâtiment, notamment la continuité de l'isolation, l'absence de ponts thermiques et de fuites d'air (par le biais de tests d'étanchéité à l'air et d'une inspection thermographique) (voir M1). Un professionnel qualifié effectue l'inspection et les essais conformément à la norme appropriée (voir M1.5). Pour la conformité à la taxonomie européenne, veuillez consulter M1.6.
10. Remédier à tout défaut identifié lors des essais et inspections post-construction avant la réception du bâtiment et la clôture du chantier. Tous les travaux de réparation doivent respecter les caractéristiques de performance requises pour le bâtiment ou l'élément, telles que définies lors de la conception (voir M1.4).</t>
  </si>
  <si>
    <t>11. Avant la remise des clés, élaborer deux guides d'utilisation (voir M2) pour le bâtiment ou le logement, destinés aux utilisateurs suivants :
11.a Un guide d'utilisation non technique à distribuer aux occupants du bâtiment.
11.b Un guide d'utilisation technique destiné aux gestionnaires des installations (peut ne pas s'appliquer aux évaluations résidentielles sans parties partagées ou espaces communs gérés).
Une version préliminaire est élaborée et discutée au préalable avec les utilisateurs (lorsque les occupants du bâtiment sont connus) afin de s'assurer que le guide est le plus approprié et utile possible.
12. Préparer deux programmes de formation (voir M3) adaptés aux dates de remise des clés et d'occupation prévues pour les utilisateurs suivants :
12.a Programme de formation non technique pour les occupants du bâtiment.
12.b Programme de formation technique pour les gestionnaires des installations.</t>
  </si>
  <si>
    <t>Phases</t>
  </si>
  <si>
    <t>Nb. crédits</t>
  </si>
  <si>
    <t>1. Fournir un soutien après-vente aux occupants du bâtiment grâce à la mise en place d'une infrastructure et de ressources opérationnelles. Ceci comprend au minimum :
1.a Une réunion entre l'équipe ou la personne chargée du soutien après-vente et l'occupant ou l'équipe de gestion du bâtiment (avant l'emménagement initial, ou dès que possible par la suite) afin de :
1.a.i Présenter le soutien après-vente disponible, y compris le contenu du guide d'utilisation du bâtiment (le cas échéant) et le programme de formation.
1.a.ii Présenter les informations clés concernant les caractéristiques du bâtiment, notamment son objectif de conception et son utilisation, afin de garantir un fonctionnement aussi efficace et performant que possible.
1.b Formation à la gestion des installations sur site, comprenant :
1.b.i Visite guidée du bâtiment.
1.b.ii Présentation et familiarisation avec les systèmes du bâtiment, leurs commandes et leur utilisation conformément aux spécifications de conception et aux exigences opérationnelles.
1.c Assistance initiale pendant au moins le premier mois d'occupation du bâtiment, par exemple une présence hebdomadaire sur site, afin d'accompagner les utilisateurs et la direction du bâtiment (la fréquence dépendra de la complexité du bâtiment et de son exploitation).
1.d Assistance à plus long terme pour les occupants pendant au moins les 12 premiers mois suivant l'emménagement, par exemple une assistance téléphonique, une personne référente ou tout autre système approprié pour accompagner les utilisateurs et la direction du bâtiment.
2 Mise en place de l'infrastructure et des ressources opérationnelles nécessaires à la collecte et au suivi des données de consommation d'énergie et d'eau pendant au moins 12 mois après l'occupation significative du bâtiment. Cela facilite l’analyse des écarts entre les performances réelles et prévues, en vue d’ajuster les systèmes et les comportements des utilisateurs en conséquence (voir M1).</t>
  </si>
  <si>
    <t>3. Réaliser les activités de mise en service suivantes sur une période minimale de 12 mois, une fois le bâtiment occupé de manière significative :
3.a Systèmes complexes : Le responsable de la mise en service spécialisé devra :
3.a.i Identifier les modifications apportées par le propriétaire ou l’exploitant susceptibles d’avoir affecté ou amélioré les performances.
3.a.ii Tester tous les équipements techniques du bâtiment en conditions de charge maximale et partielle (voir CN1).
3.a.iii Le cas échéant, effectuer des tests pendant les périodes d’occupation extrême (forte ou faible).
3.a.iv Interroger les occupants du bâtiment (lorsqu’ils sont concernés par les équipements techniques complexes) afin d’identifier les problèmes ou les préoccupations concernant l’efficacité des systèmes.
3.a.v Comparer les performances énergétiques mesurées par sous-comptage aux performances énergétiques prévues.
3.a.vi Identifier les inefficacités et les points à améliorer.
3.a.vii Remettre en service les systèmes (après les travaux nécessaires pour répondre aux nouvelles charges) et intégrer les modifications apportées aux procédures d’exploitation dans les manuels d’exploitation et de maintenance. 3.b Systèmes simples : Le consultant externe, l’équipe de maintenance ou le gestionnaire des installations devra :
3.b.i Examiner le confort thermique, la ventilation et l’éclairage à trois, six et neuf mois après la mise en service,
par des mesures ou grâce aux retours des occupants.
3.b.ii Identifier les défaillances et les points à améliorer.
3.b.iii Remettre en service les systèmes et intégrer les modifications pertinentes des procédures d’exploitation dans les manuels d’exploitation et de maintenance.</t>
  </si>
  <si>
    <t>8 Lorsque les objectifs de zéro émission nette de carbone ne sont pas atteints pour les performances opérationnelles et que des combustibles fossiles sont utilisés sur site, une personne compétente élabore un plan de transition zéro carbone démontrant comment l'actif atteindra la neutralité carbone en exploitation d'ici 2050 au plus tard (voir M2).</t>
  </si>
  <si>
    <t>2. Identifier les zones à risque d'éblouissement à l'aide d'une évaluation des risques d'éblouissement. Cette évaluation justifie également les zones jugées non exposées à un risque d'éblouissement.
3. Lorsqu'un risque a été identifié dans une zone concernée du bâtiment, une stratégie de contrôle de l'éblouissement est mise en œuvre afin d'éliminer tout risque d'éblouissement (voir M2).
4. La stratégie de contrôle de l'éblouissement n'augmente pas la consommation d'énergie pour l'éclairage. Ceci est réalisé en :
4.a. Optimisant les niveaux de lumière naturelle par tous les temps (nuageux ou ensoleillé).
4.b. S'assurant que l'utilisation ou l'emplacement des protections solaires ne perturbe pas le fonctionnement des systèmes de contrôle de l'éclairage.</t>
  </si>
  <si>
    <t>5. Les critères d’éclairage naturel ont été respectés selon l’une des options décrites dans le tableau 13, page 85 (voir M3.2) :
5.a Les zones concernées du bâtiment respectent les critères d’éclairement naturel moyen et minimal des bonnes pratiques, tels que décrits dans le tableau 13, page 85.
OU
5.b Les zones concernées du bâtiment respectent tout niveau de recommandation selon les critères d’éclairement naturel de la norme EN 17037:2018+A1:2021.
OU
5.c Les zones concernées du bâtiment atteignent au moins le niveau d’éclairement naturel « nominalement accepté » selon la norme IES LM-83-23.</t>
  </si>
  <si>
    <t>6. Obtenir au moins un point pour « Éclairage naturel » (critère 5).
7. Toutes les unités concernées doivent comporter au moins une zone recevant au moins 3 heures d'ensoleillement direct par fenêtre le jour de l'équinoxe (21 mars ou 21 septembre, représentant les conditions annuelles moyennes), par ciel dégagé (voir M4).</t>
  </si>
  <si>
    <t>Ensoleillement direct sur fenêtres
(Résidentiel, santé, séjours longue durée)</t>
  </si>
  <si>
    <t>8. Option A (Distance à la fenêtre) : 95 % de la surface au sol dans 95 % des espaces doivent être à une distance d'une fenêtre permettant une vue adéquate. La taille de la fenêtre requise augmente avec la distance :
&lt; 8 m : Fenêtre ≥ 20 % de la paroi ; 8 à 11 m : Fenêtre ≥ 25 % de la paroi ; 11 à 14 m : Fenêtre ≥ 30 % de la paroi ; &gt; 14 m : Fenêtre ≥ 35 % de la paroi.
OU
9. Option B (Qualité visuelle) : 75 % de la surface au sol dans 95 % des espaces doivent offrir :
Un angle de vue horizontal ≥ 28°.
Une vue sur le "paysage" ainsi qu'au moins le ciel ou le sol.</t>
  </si>
  <si>
    <t>12. Les critères d’éclairage naturel ont été respectés selon l’une des options suivantes :
12.a Les zones concernées du bâtiment satisfont aux critères exemplaires d’éclairement naturel ponctuel moyen et minimal, tels que définis dans le tableau 14, page 87.
OU
12.b Les zones concernées du bâtiment satisfont à la note la plus élevée de la norme EN 17037:2018+A1:2021 OU de la norme IES LM-83-23 et aux critères pertinents du tableau 14, page 87.</t>
  </si>
  <si>
    <t>1. Tout éclairage doit être conçu pour minimiser le papillotement (flicker) et les effets stroboscopiques (voir M1), y compris sur toute sa plage de gradation et de réglage des couleurs, le cas échéant. Ceci s'applique à tout éclairage intérieur et extérieur. EU Directive 2009/125/EC</t>
  </si>
  <si>
    <t>2. L'éclairage intérieur de toutes les zones concernées du bâtiment est conçu pour être conforme à toutes les recommandations applicables de la norme EN 12464-1:2021(7) ou à une norme nationale alternative approuvée. L'éclairage intérieur doit être adapté aux tâches effectuées, en tenant compte de la concentration et du confort des utilisateurs. Ceci peut être démontré par une stratégie de conception d'éclairage fournissant des paramètres d'éclairage conformes aux guides de bonnes pratiques nationaux (voir CN2 page 99). Les critères de conformité doivent inclure, selon le cas :
2.a Niveaux et uniformité d'éclairement
2.b Limites d'éblouissement
2.c Apparence des couleurs (lorsqu'il existe des recommandations standard)
2.d Rendu des couleurs
3. Dans les zones où des écrans d'ordinateur sont régulièrement utilisés, il est impératif de confirmer que l'éclairage a été conçu pour limiter les risques d'éblouissement conformément à une limite d'éblouissement numérique spécifiée dans les guides de bonnes pratiques nationaux. Ces critères doivent inclure :
3.a Limites de luminance des luminaires pour éviter les reflets sur les écrans. Les données des fabricants de luminaires doivent être consultées pour confirmer ce point. 
3.b Pour l'éclairage indirect, les recommandations se réfèrent à la luminance du plafond éclairé et non à celle du luminaire ; un calcul effectué par l'équipe de conception est généralement nécessaire pour le démontrer.
3.c Recommandations pour l'éclairage direct, l'éclairement du plafond et l'éclairement moyen des murs.
4. Tout l'éclairage extérieur situé dans la zone de construction est spécifié conformément à la série EN 13201 (parties 1 à 5) et à la norme EN 12464-2:2024. L'éclairage extérieur doit permettre aux utilisateurs d'effectuer des tâches visuelles en extérieur de manière efficace et précise, notamment la nuit. Ceci peut être démontré par une stratégie de conception d'éclairage fournissant des paramètres d'éclairage conformes aux guides nationaux de bonnes pratiques en matière d'éclairage (voir CN2 page 99). Les critères de conformité doivent inclure, le cas échéant pour chaque type d'application :
4.a Niveaux et uniformité de l'éclairement/luminance
4.b Limites d'éblouissement
4.c Rendu des couleurs</t>
  </si>
  <si>
    <t>9. Dans chaque zone de contrôle d'un espace occupé, l'éclairage peut être atténué manuellement par les occupants jusqu'à 20 % maximum de son flux lumineux maximal, à l'aide d'interfaces de commande d'éclairage placées à des endroits accessibles.
10. Dans chaque zone de contrôle d'un espace occupé, la couleur de l'éclairage peut être ajustée sur une plage de température de couleur corrélée, de 2 700 K ou moins à 4 000 K ou plus. Des commandes automatiques limitent la température de couleur corrélée à 2 700 K ou moins l'après-midi et le soir.</t>
  </si>
  <si>
    <t>1. Obtenir au moins un crédit pour « Éclairage naturel » dans Hea 01 Lumière naturelle.
2. Toutes les zones concernées doivent satisfaire à l'une des conditions suivantes, selon le cas :
2.a Lorsque les positions des occupants sont connues et fixes (voir M1.1) : Toutes les positions dans toutes les zones concernées du bâtiment reçoivent un éclairement vertical d'au moins 250 lux EDI mélanopiques au niveau des yeux des occupants pendant au moins quatre heures en journée (à partir de midi au plus tard).
2.b Lorsque les positions des occupants sont inconnues ou variables (voir M1.2) : L'éclairement cylindrique à hauteur des yeux dans chaque zone concernée du bâtiment correspond à au moins 250 lux EDI mélanopiques pendant au moins quatre heures en journée (à partir de midi au plus tard). 
3. Des systèmes d'éclairage électrique et des commandes permettent d'ajuster le flux et le spectre de la lumière émise au fil du temps (réglage de la couleur) afin de réduire l'EDI mélanopique au niveau des yeux des occupants l'après-midi et le soir, selon le type d'application.
4. Dans les zones résidentielles d'un bâtiment, des systèmes et des commandes garantissent un EDI mélanopique inférieur ou égal à 10 lux pendant les trois heures précédant le coucher et inférieur ou égal à 1 lux pendant le sommeil, au niveau des yeux des occupants, dans toutes les zones concernées du bâtiment où une occupation résidentielle est prévue (voir Définitions).</t>
  </si>
  <si>
    <t>1. Les matériaux contenant de l'amiante ne doivent pas être prescrits ou installés.</t>
  </si>
  <si>
    <t>2. Un plan de qualité de l'air intérieur spécifique au site a été élaboré conformément à la note d'orientation 6 (GN06). Ce plan oriente la conception, les spécifications et l'installation afin d'optimiser l'amélioration de la qualité de l'air intérieur pendant l'occupation. Le plan doit prendre en compte les éléments suivants :
2.a Suppression des sources de contamination importantes
2.b Dilution et contrôle des autres sources de contamination, notamment :
2.b.i Exigences de qualité de l'air des zones spécialisées telles que les laboratoires, le cas échéant
2.c Procédures de purge et de renouvellement d'air avant occupation
2.d Tests et analyses effectués par un tiers
2.e Maintien de la qualité de l'air intérieur pendant l'utilisation
2.f Tout plan ou politique pertinent des autorités locales ou nationales (par exemple, zones de gestion de la qualité de l'air ou plans d'action locaux pour la qualité de l'air)</t>
  </si>
  <si>
    <t>Le bâtiment a été conçu pour minimiser la concentration et la recirculation des polluants à l'intérieur, comme suit :
3. Assurer l'apport d'air frais dans le bâtiment conformément à l'une des normes de bonnes pratiques en matière de ventilation énumérées ci-dessous (pour plus d'informations, voir M1.1) :
3.a ISO 17772-1:2017 Annexe I
3.b EN 16798-1:2019 Annexe B.3
3.c Norme nationale de bonnes pratiques en matière de ventilation.
4. Les voies de ventilation sont conçues pour minimiser la pénétration et l'accumulation de polluants atmosphériques à l'intérieur du bâtiment (voir M1.2).
5. Le cas échéant, les systèmes CVC doivent intégrer une filtration appropriée pour minimiser la pollution de l'air extérieur, telle que définie dans la norme EN 16798-1:2025, section B.4.2.(17). Les filtres spécifiés doivent atteindre une classification de l'air soufflé d'au moins SUP 2. Le niveau de filtration requis dépend de la qualité de l'air extérieur. 5.a Les immeubles résidentiels collectifs équipés de systèmes de climatisation centralisée peuvent démontrer leur conformité avec une classe de filtration F7 ou ePM1 50 %.
6 Les espaces occupés sont équipés de capteurs de dioxyde de carbone (CO₂) ou de capteurs de qualité de l'air étalonnés dans des zones spécifiques, conformément à la norme M1.3 et :
6.a Dans les bâtiments ou espaces ventilés mécaniquement : les capteurs sont reliés au système de ventilation mécanique et assurent une ventilation à la demande.
6.b Dans les bâtiments ou espaces ventilés naturellement : les capteurs peuvent alerter le propriétaire ou le gestionnaire du bâtiment lorsque les niveaux de CO₂ dépassent le seuil recommandé, ou sont reliés à des dispositifs de contrôle permettant d'ajuster la quantité d'air frais par exemple, des fenêtres à ouverture automatique ou des aérateurs de toiture.
6.c Le nombre total de capteurs et la surface intérieure nette des zones concernées couvertes par les capteurs sont déclarés via la plateforme BREEAM. 7 Dans les pays ou juridictions où fumer dans les bâtiments n’est pas interdit par la loi (voir Définitions), une interdiction de fumer couvrant toutes les zones publiques et réservées au personnel du bâtiment est mise en œuvre, et des panneaux « Interdit de fumer » sont placés dans des zones appropriées clairement visibles par tous les occupants (c.-à-d. les zones communes, les bureaux et les entrées du bâtiment).</t>
  </si>
  <si>
    <t>10. Le critère 2 a été atteint.
11. La concentration de formaldéhyde dans l'air intérieur est mesurée après la construction (mais avant l'occupation) et ne dépasse pas 100 µg/m³, en moyenne sur 30 minutes.(18)
12. L'échantillonnage et l'analyse du formaldéhyde sont effectués conformément aux normes ISO 16000-2(19) et ISO 16000-3(20) et à la méthodologie M3.
13. La concentration totale de composés organiques volatils (COVT) dans l'air intérieur est mesurée après la construction (mais avant l'occupation) et ne dépasse pas 300 µg/m³, en moyenne pondérée sur 8 heures.(21)
14. L'échantillonnage et l'analyse des COVT sont effectués conformément aux normes ISO 16000-5(22) et ISO 16000-6(23) ou ISO 16017-1(24) et à la méthodologie M3. 
15. Lorsque les niveaux dépassent ces limites, l’équipe de projet confirme les mesures qui ont été ou seront prises conformément aux recommandations du plan QAI afin de réduire les niveaux de COVT et de formaldéhyde dans les limites susmentionnées.
16. Les concentrations mesurées de formaldéhyde (µg/m³) et de COVT (µg/m³) sont communiquées via la plateforme BREEAM.</t>
  </si>
  <si>
    <t>Un crédit exemplaire
17 Au moins quatre des cinq types de produits énumérés dans le tableau 18 à la page 112 respectent les limites d'émission, les exigences d'essai et toutes les exigences supplémentaires énumérées dans le tableau 18 et M2.
Deux crédits exemplaires
18 Tous les types de produits respectent les limites d'émission, les exigences d'essai et toutes les exigences supplémentaires énumérées dans le tableau 18 et M2.</t>
  </si>
  <si>
    <t>1. Calculer le confort thermique dans les zones occupées concernées à l'aide d'une simulation dynamique complète du bâtiment (voir M1.2). Procéder ainsi conformément à une norme approuvée ci-dessous, en tenant pleinement compte des variations saisonnières.
Pour les bâtiments climatisés :
2. Le bâtiment est conçu pour répondre aux critères de confort thermique, selon l'une des méthodologies suivantes :
2.a Les niveaux de confort thermique dans les espaces occupés satisfont aux exigences de la catégorie B définies dans le tableau A.1 de l'annexe A de la norme ISO 7730:2005.(42)
2.b Norme ANSI/ASHRAE 55:2023.
2.c Autre norme sectorielle appropriée (lorsqu'elle définit une exigence ou un niveau plus élevé ou plus approprié pour le type de bâtiment), voir CN1.5.
3 Une fois générés, les indices PMV et PPD basés sur la modélisation ci-dessus doivent être communiqués via la plateforme BREEAM (voir CN1.3 et CN1.4).
Pour les bâtiments à ventilation naturelle et les bâtiments à ventilation mécanique avec refroidissement de confort limité :
4. Les plages de températures opératives hivernales dans les espaces occupés sont conformes aux critères définis dans le Guide A de la CIBSE
Conception environnementale, OU à toute autre norme sectorielle appropriée (lorsqu'elle définit une exigence ou un niveau plus élevé ou plus approprié pour le type de bâtiment).
5. Le bâtiment est conçu pour limiter le risque de surchauffe, en utilisant la méthodologie de confort adaptatif de l'une des normes suivantes :
5.a Norme ANSI/ASHRAE 55:2023.
5.b CIBSE TM59 : Méthodologie de conception pour l'évaluation du risque de surchauffe dans les logements.
5.c CIBSE TM52 : Les limites du confort thermique : éviter la surchauffe dans les bâtiments européens.
5.d Guide A de la CIBSE.
5.e Toute autre norme sectorielle nationale ou locale appropriée permettant d'atteindre le même résultat (lorsqu'elle définit une exigence ou un niveau plus élevé ou plus approprié pour le type de bâtiment), voir CN1.5.</t>
  </si>
  <si>
    <t>6. Les critères 1 à 5 sont atteints.
7. La modélisation thermique montre que les exigences pertinentes énoncées dans le critère 2 ou 5 sont satisfaites pour un environnement climatique projeté (voir M1.3).
8. Lorsque le critère 7 ci-dessus n'est pas satisfait, l'équipe de projet démontre comment le bâtiment a été adapté, ou conçu pour être facilement adaptable à l'avenir grâce à des solutions de conception passive afin de satisfaire aux exigences du critère 7.
9. Pour les bâtiments climatisés, les indices PMV et PPD, calculés à partir de la modélisation ci-dessus, doivent être communiqués via la plateforme BREEAM (voir CN1.3 et CN1.4).</t>
  </si>
  <si>
    <t>10. Les critères 1 à 5 sont atteints.
11. L'analyse de modélisation thermique (critères 1 à 5) a permis d'élaborer la stratégie de régulation de la température du bâtiment et de ses occupants.
12. La stratégie de chauffage ou de refroidissement proposée montre qu'elle prend en compte :
12.a Le zonage thermique du bâtiment et la manière dont les équipements techniques permettront de chauffer ou de refroidir efficacement et de façon appropriée ces zones.
12.b Le niveau de contrôle requis par l'utilisateur pour ces zones, adapté aux besoins des utilisateurs finaux (voir M2.1). La stratégie tient compte des éléments suivants :
12.b.i La connaissance des équipements techniques par l'utilisateur.
12.b.ii Le niveau de contrôle requis en fonction du type d'occupation, des habitudes et des fonctions des pièces (voir M2.2).
12.b.iii La manière dont l'utilisateur est susceptible d'utiliser les systèmes de chauffage ou de refroidissement.
12.b.iv Les attentes des utilisateurs selon les saisons et le niveau de contrôle individuel souhaité. 
12.c En cas de présence de plusieurs systèmes, décrire comment les systèmes proposés interagiront et s'imbriqueront entre eux et comment cela pourrait affecter le confort thermique des occupants du bâtiment.
12.d Indiquer la nécessité, ou non, d'une commande manuelle accessible à l'utilisateur pour tout système automatique.</t>
  </si>
  <si>
    <t>Bruit ambiant intérieur (hors résidentiel)</t>
  </si>
  <si>
    <t>Isolation acoustique (hors résidentiel)</t>
  </si>
  <si>
    <t>Temps de réverbération (hors résidentiel)</t>
  </si>
  <si>
    <t>2. Tous les espaces inoccupés respectent les objectifs de niveau de bruit ambiant intérieur, tels que détaillés dans le critère le plus rigoureux 2.a ou 2.b ci-dessous :
2.a Objectifs de niveau de bruit ambiant intérieur définis par la réglementation nationale du bâtiment ou d’autres normes de bonnes pratiques appropriées.
2.b Lorsque la réglementation nationale du bâtiment ou les normes de bonnes pratiques n’existent pas pour le type de bâtiment ou ne fournissent pas d’objectifs de niveau de bruit ambiant intérieur, les niveaux de bruit ambiant intérieur sont conformes aux critères de « bonnes pratiques » décrits dans le tableau 20 à la page suivante.
3. Un organisme de certification (SQA) effectue des mesures de bruit ambiant pour s’assurer que les espaces concernés atteignent les niveaux requis. Si les mesures révèlent que des espaces ne respectent pas les normes, des travaux de remise en état sont effectués et les mesures sont répétées pour confirmer que les niveaux sont atteints avant la livraison et l’occupation.
Établissements scolaires uniquement :
4. Les espaces d’enseignement et d’apprentissage dotés de toitures légères et de verrières doivent démontrer que les niveaux de pression acoustique réverbérée dans ces pièces ne dépassent pas de plus de 25 dB les limites appropriées indiquées dans le tableau 20 à la page suivante.</t>
  </si>
  <si>
    <t>5 L’isolation acoustique entre les pièces sensibles sur le plan acoustique et les autres zones occupées est conforme aux exigences de confidentialité telles que détaillées dans le critère le plus rigoureux 5.a ou 5.b ci-dessous :
5.a L’isolation acoustique entre les pièces sensibles sur le plan acoustique et les autres zones occupées est conforme aux objectifs fixés par la réglementation nationale ou d’autres normes de bonnes pratiques appropriées.
OU
5.b Lorsque la réglementation nationale ou les normes de bonnes pratiques applicables ne sont pas en vigueur pour le type de bâtiment ou ne définissent pas d'objectifs de performance en matière d'isolation acoustique, l'isolation acoustique entre les pièces sensibles à l'acoustique et les autres zones occupées est conforme au potentiel de confidentialité de la parole suivant : Dw + LAeqT &gt; 75.
5.c Lorsque la confidentialité est jugée essentielle par le client ou l'équipe de conception (par exemple, cabinet médical, salle de consultation dans une banque) ou lorsque la pièce est adjacente à un espace bruyant comme une salle de musique, la zone doit être conforme à un potentiel de confidentialité de la parole renforcé : Dw + LAeqT &gt; 85.
6 Les niveaux de pression acoustique de la pièce source et de la pièce réceptrice à partir desquels Dw est déterminé sont mesurés conformément à la norme (EN) ISO 16283-1:2014+A1:2017 et évalués conformément à la norme (EN) ISO 717-1:2020. Les mesures effectuées par la SQA doivent être basées sur des pièces finies mais non meublées, en tenant compte et en incluant l'effet de toute moquette et de tout plafond absorbant acoustiquement spécifié.</t>
  </si>
  <si>
    <t>1. Un acousticien qualifié (AQ ou SQA en anglais) est désigné par le client au stade approprié du processus d'acquisition (mais au plus tard après la finalisation de la conception préliminaire) afin de fournir des conseils préliminaires sur les points suivants :
1.a Les sources de bruit externes affectant le site choisi.
1.b L'aménagement du site et le zonage du bâtiment pour une acoustique optimale.
1.c Les exigences acoustiques pour les utilisateurs ayant des besoins spécifiques en matière d'audition et de communication.
1.d Le traitement acoustique des différentes zones et façades.</t>
  </si>
  <si>
    <t>7. Les salles ou espaces utilisés pour la prise de parole (y compris les salles de réunion et les salles de discours) ou les salles utilisées pour la musique (représentations et répétitions) doivent atteindre les temps de réverbération détaillés dans le critère le plus rigoureux 7.a OU 7.b et 7.c, tels que mesurés par la SQA :
7.a Démontrer que le temps de réverbération ou la surface d’absorption équivalente des espaces concernés est conforme aux objectifs des réglementations nationales applicables ou d’autres normes de bonnes pratiques appropriées.
7.b Lorsque les réglementations nationales applicables ou les normes de bonnes pratiques n’exigent pas le contrôle du temps de réverbération, atteindre les temps de réverbération conformes au tableau 21 de la page suivante.
7.c Si cela concerne le bâtiment évalué, toutes les zones utilisées à des fins d’enseignement, de formation et d’éducation doivent atteindre les temps de réverbération conformes au tableau 22 de la page suivante.</t>
  </si>
  <si>
    <t>8. Le bâtiment satisfait aux normes de performance acoustique et aux exigences d'essais détaillées dans la version la plus rigoureuse :
SOIT :
8.a Les valeurs d'isolation aux bruits aériens et d'impact sont conformes aux normes d'amélioration des performances, par rapport à la réglementation nationale applicable décrite dans le tableau 23 à la page suivante ; OU
8.b Les niveaux d'isolation aux bruits aériens et d'impact sont conformes aux normes de performance décrites dans le tableau 24 à la page 133, sauf indication contraire dans les présents critères.
9. Un programme d'essais avant réception est réalisé par la SQA : SOIT :
9.a Selon le programme d'essais normal décrit dans la réglementation nationale applicable pour chaque groupe ou sous-groupe de pièces à usage d'habitation ; Il doit être démontré que les normes de performance détaillées dans ce document sont atteintes.
OU
9.b En l'absence de réglementation nationale applicable, ou si celle-ci exige des mesures en laboratoire pour démontrer la conformité, le programme d'essais sur site avant réception doit être réalisé conformément aux recommandations relatives à la « Fréquence des essais requis » (voir les procédures de calcul dans la section Méthodologie, page 133) pour chaque groupe ou sous-groupe de pièces.
10 Le nombre de crédits accordés dépendra de l'amélioration apportée à la réglementation nationale, déterminée selon le tableau 23 (page suivante) ou le tableau 24 (page 133). Lorsque des espaces commerciaux sont situés sous des espaces résidentiels, seuls des essais d'isolation acoustique aux bruits aériens seront requis.</t>
  </si>
  <si>
    <t>1. Des pistes cyclables dédiées sont aménagées, respectant les dimensions minimales de largeur suivantes ou les recommandations locales en matière d'aménagement :
1.a Lorsque les voies piétonnes et cyclables sont partagées, la largeur totale minimale de la voie combinée est de 3,0 m.
1.b Lorsque la piste cyclable est séparée de la voie piétonne et de la chaussée, la largeur minimale de la piste cyclable est de 2,0 m et celle de la voie piétonne de 1,5 m.
1.c Lorsque la piste cyclable fait partie de la chaussée, sa largeur minimale est de 1,5 m.
2. Des cheminements piétonniers sécurisés et dédiés sont aménagés sur et autour du site, assurant des liaisons appropriées pour :
2.a L'entrée du site à l'entrée du bâtiment.
2.b Les parkings (le cas échéant) à l'entrée du bâtiment.
2.c Le bâtiment aux espaces extérieurs.
2.d Connexion aux cheminements extérieurs, le cas échéant.
2.e Les pôles de transport locaux et autres commodités extérieures (le cas échéant).
3. Les zones de dépose-minute pour piétons, lorsqu'elles sont prévues, sont aménagées à proximité de la voie d'accès et offrent un accès direct aux chemins piétonniers.
Lorsque des zones d'accès et de dépose pour véhicules de livraison font partie du projet évalué, les dispositions suivantes s'appliquent :
4. Les zones de livraison ne sont pas accessibles directement par les parkings généraux et ne croisent ni ne partagent les éléments suivants :
4.a. Voies piétonnes et cyclables.
4.b. Espaces extérieurs accessibles aux usagers du bâtiment et au public.
5. Une zone de stationnement ou d'attente est réservée aux véhicules de livraison et correctement séparée de la zone de manœuvre et du parking du personnel et des visiteurs.
6. Les zones de stationnement et de retournement sont conçues pour faciliter les manœuvres en fonction du type de véhicule de livraison susceptible d'accéder au site, évitant ainsi les manœuvres répétées</t>
  </si>
  <si>
    <t>Bâtiment accessible (hors résidentiel)</t>
  </si>
  <si>
    <t>7. Le bâtiment est conçu pour être adapté à son usage, approprié et accessible à tous les utilisateurs potentiels.
8. Une stratégie d'accessibilité est élaborée conformément à la liste de contrôle A3 (page 420). Cette stratégie vise, au minimum, à garantir l'accès à l'ensemble du bâtiment pour tous les utilisateurs, en mettant l'accent sur les points suivants :
8.a. Les personnes en situation de handicap : des solutions de conception permettant de supprimer les obstacles liés au handicap sont proposées.
8.b. Les personnes de tous âges, sexes, origines ethniques et niveaux de mobilité.
8.c. Les parents accompagnés d'enfants (lorsque cela est pertinent compte tenu de l'usage ou du type de bâtiment).
9. Des équipements sont prévus pour les futurs occupants et utilisateurs du bâtiment (voir Définitions), notamment, le cas échéant, des équipements partageables et accessibles au public ou à la communauté sans permettre un accès non contrôlé à d'autres parties du bâtiment (sauf si les procédures de sécurité l'interdisent).</t>
  </si>
  <si>
    <t>10. Le concepteur doit confirmer que le projet évalué est conforme aux exigences de la liste de contrôle Lifetime Homes (voir la liste de contrôle A4, page 421), soit :
10.a Respect des normes nationales de bonnes pratiques ou de la législation locale en vigueur qui couvrent (au minimum) les exigences de la liste de contrôle Lifetime Homes.
OU
10.b Démontrer la conformité aux exigences de la liste de contrôle Lifetime Homes.</t>
  </si>
  <si>
    <t>11. Un spécialiste en sécurité dûment qualifié (SSDQ) réalise une évaluation des besoins de sécurité (EBS) fondée sur des données probantes pendant ou avant la phase de conception préliminaire. L'EBS vise à identifier les caractéristiques du projet, du site et de ses environs qui peuvent influencer l'approche en matière de sécurité du développement.
12. Le SSDQ élabore un ensemble de mesures de sécurité et de recommandations à intégrer aux propositions. Ces mesures et recommandations doivent être directement liées aux menaces et aux actifs identifiés dans l'EBS précédente.
13. Les mesures et recommandations doivent être intégrées aux propositions et mises en œuvre dans le projet final. Toute dérogation à ces mesures et recommandations doit être justifiée et approuvée par le SSDQ.</t>
  </si>
  <si>
    <t>1. L’espace extérieur (privé ou semi-privé) doit satisfaire aux exigences suivantes :
1.a. Il doit être suffisamment grand pour permettre à tous les occupants de s’asseoir à l’extérieur.
1.b. Il doit être accessible à tous les occupants, y compris aux personnes en fauteuil roulant.
1.c. Il doit être accessible uniquement aux occupants des logements désignés.
2. Les espaces extérieurs doivent être adjacents aux logements ou situés à proximité immédiate de ceux-ci et respecter les dimensions minimales requises. (voir M1).</t>
  </si>
  <si>
    <t>1. Une évaluation des risques est réalisée, dès l'étape de la proposition préliminaire ou de la conception préliminaire, par une ou plusieurs personnes compétentes afin d'identifier les risques naturels potentiels dans la zone de développement.
2. Lorsqu'un risque potentiel est identifié, une personne compétente doit définir et mettre en œuvre des mesures d'atténuation adaptées au niveau de risque.</t>
  </si>
  <si>
    <t>Minimisation des risques de contamination
1 Tous les systèmes d'eau du bâtiment sont conformes aux bonnes pratiques et réglementations en vigueur en matière de santé et de sécurité afin de minimiser les risques de contamination microbienne, notamment la légionellose.
2 Lorsqu'une humidification est nécessaire, un système d'humidification de sécurité est installé.
Eau potable : tous types de bâtiments, à l'exception des résidences et des établissements d'hébergement (séjour de longue durée) :
3 Des fontaines à eau alimentent en eau potable les zones où du personnel est présent en permanence, notamment les zones suivantes le cas échéant :
3.a Cuisines du personnel.
3.b Cafétérias du personnel.
3.c Autres emplacements appropriés à chaque étage.
De plus, pour les établissements d'hébergement et les établissements d'hébergement (séjour de courte durée) :
4 Des fontaines à eau alimentent en eau potable les espaces communs :
4.a Si de l'eau potable est disponible dans chaque chambre, une fontaine à eau est accessible depuis tous les principaux espaces communs.
4.b Si l'eau potable n'est pas disponible dans chaque chambre, une fontaine à eau est accessible depuis tous les principaux espaces communs ET est spécifiée dans les espaces communs à proximité des principaux points d'accès (ascenseurs et cages d'escalier) à chaque étage ou zone de chambres.</t>
  </si>
  <si>
    <t>Excellent, Outstanding</t>
  </si>
  <si>
    <t>1. Calculer le coefficient de performance énergétique global (EPR_INC) selon les modalités suivantes :
1.a Option 1 – Amélioration des performances par rapport à la réglementation locale du bâtiment : Il existe une méthode de calcul nationale (NCM) dans le pays d’évaluation permettant à l’équipe de conception de réaliser une analyse complète des performances énergétiques. Voir M2.1.
1.b Option 2 – Amélioration des performances par rapport aux valeurs de référence ASHRAE : L’analyse des performances énergétiques est réalisée à l’aide d’un logiciel alternatif agréé, en comparaison avec les valeurs de référence ASHRAE pertinentes. Voir M2.2.
Pour les deux options, le nombre de crédits BREEAM attribués est indiqué dans le tableau 26.</t>
  </si>
  <si>
    <t>2. Le bâtiment a été modélisé selon l'option 1 ou l'option 2, et les résultats de la modélisation démontrent qu'au moins 100 % des besoins énergétiques réglementés du bâtiment sont couverts par des technologies à faibles émissions de carbone ou à émissions nulles (voir M3).
3. Le nombre de crédits BREEAM attribués est calculé en fonction du pourcentage de la consommation énergétique opérationnelle du bâtiment couvert par des sources à faibles émissions de carbone ou à émissions nulles (voir tableau 27 ci-dessous).</t>
  </si>
  <si>
    <t>14. Aucune énergie fossile ne sera utilisée dans le bâtiment en exploitation (sauf pour du process spécifique)</t>
  </si>
  <si>
    <t>1. Définir une stratégie énergétique pour le bâtiment dès la phase de conception préliminaire, décrivant qualitativement comment les performances opérationnelles énergétiques et carbone du bâtiment seront minimisées (voir M1.1).</t>
  </si>
  <si>
    <t>2. Estimer les consommations énergétiques non réglementées et les profils d'occupation du bâtiment (voir M1.2.1).
3. Élaborer un modèle énergétique détaillé lors de la phase de conception technique et réaliser une analyse de sensibilité et une modélisation de scénarios afin d'explorer l'impact des principaux paramètres et hypothèses sur la consommation énergétique (voir M1.2.2).
4. Prédire la consommation énergétique opérationnelle annuelle du bâtiment, par type de combustible, à partir de la modélisation de scénarios. La modélisation devra être mise à jour après la construction afin de prendre en compte toute modification du cahier des charges du bâtiment (voir M1.2.3 et M1.2.4).</t>
  </si>
  <si>
    <t>Evaluation et atténuation des risques</t>
  </si>
  <si>
    <t>5. Obtenir les crédits relatifs à la modélisation énergétique prédictive.
6. Mettre en évidence les risques importants liés à la conception, aux aspects techniques et aux procédés susceptibles d'empêcher les bâtiments d'atteindre l'objectif de performance énergétique et indiquer comment ces risques seront atténués tout au long du processus de construction et de mise en service (voir M1.3).</t>
  </si>
  <si>
    <t>7. Obtenir les crédits de modélisation énergétique prédictive.
8. Les crédits sont attribués en fonction du score de performance énergétique opérationnelle des nouvelles constructions (OEPNC), comme indiqué dans le tableau 28 ci-dessous (voir M2).</t>
  </si>
  <si>
    <t>1. Un objectif de performance énergétique en exploitation a été communiqué aux parties prenantes et rendu public avant la réception des travaux (M3).</t>
  </si>
  <si>
    <t>Publication d'un objectif de performance énergétique</t>
  </si>
  <si>
    <t>Validation du modèle par un tiers</t>
  </si>
  <si>
    <t>10. Les résultats de la modélisation de la consommation énergétique prédictive ont fait l'objet d'une validation par une tierce partie indépendante</t>
  </si>
  <si>
    <t>11. Tous les points Ene03 Energy Monitoring sont acquis. 
12. Les sorties de la modélisation énergétique incluent une ventilation de la consommation d'énergie par sous-compteur, alignée avec le plan de comptage du bâtiment.</t>
  </si>
  <si>
    <t>Engagement à mesurer la consommation réelle en exploitation</t>
  </si>
  <si>
    <t>Préparation de la phase exploitation</t>
  </si>
  <si>
    <t>13. Le client ou l'occupant du bâtiment s'engage financièrement à faire mesurer la consommation énergétique réelle par un assesseur énergétique dûment qualifié, une fois que le bâtiment atteint son seuil d'occupation.</t>
  </si>
  <si>
    <t>1. Identifier les sources d'énergie utilisées par le bâtiment et estimer la consommation énergétique annuelle pour les éléments suivants (voir M1) :
1.a Électricité du réseau
1.b Gaz du réseau
1.c Chauffage urbain
1.d Refroidissement urbain
1.e Électricité renouvelable produite sur site.
2. Un système de suivi de la consommation énergétique est installé, permettant d'attribuer au moins 90 % de la consommation énergétique annuelle estimée pour chaque source d'énergie à une catégorie d'utilisation finale (voir M2).
3. L'électricité renouvelable produite sur site et exportée du bâtiment doit faire l'objet d'un suivi distinct.
4. Un système de comptage de l'énergie adapté à la taille du bâtiment est installé :
4.a Pour les bâtiments d'une surface intérieure brute ≥ 1 000 m², les compteurs d'énergie sont connectés à un système de suivi et de gestion de l'énergie.
4.b Pour les bâtiments d'une surface intérieure brute &lt; 1 000 m², les compteurs d'énergie sont soit :
4.b.i Connectés à un système de suivi et de gestion de l'énergie approprié. OU
4.b.ii Les compteurs sont-ils accessibles et dotés de sorties à impulsions ou d’autres sorties de communication à protocole ouvert ?
5 Les personnes chargées du suivi de la consommation énergétique du bâtiment peuvent identifier clairement la catégorie d’utilisation finale couverte par chaque compteur.</t>
  </si>
  <si>
    <t>6. Un système de suivi de la consommation énergétique est installé, permettant d'attribuer la consommation d'énergie aux zones louées ou occupées séparément et aux zones fonctionnelles concernées au sein du bâtiment (voir M3).
7. Un système de comptage de l'énergie adapté à la taille du bâtiment est installé :
7.a. Pour les bâtiments d'une surface intérieure brute ≥ 1 000 m², les compteurs d'énergie doivent être connectés à un système de suivi et de gestion de l'énergie.
7.b. Pour les bâtiments d'une surface intérieure brute &lt; 1 000 m², les compteurs d'énergie sont soit :
7.b.i. Connectés à un système de suivi et de gestion de l'énergie approprié. OU
7.b.ii. Des compteurs accessibles avec sorties à impulsions ou autres sorties de communication à protocole ouvert.
8. Les personnes responsables du suivi de la consommation énergétique du bâtiment peuvent identifier clairement la zone fonctionnelle ou d'occupation couverte par chaque compteur.</t>
  </si>
  <si>
    <t>Suivi de la consommation énergétique par usage final</t>
  </si>
  <si>
    <t>Suivi de la consommation énergétique pour différents occupants et zones fonctionnelles</t>
  </si>
  <si>
    <t>1. Analyse effectuée dès le stade Concept (esquisse) pour explorer l'effet de la forme architecturale sur la demande énergétique. 
2. Il faut prouver que cette étude a réellement influencé le design final.</t>
  </si>
  <si>
    <t>3. Analyse obligatoire : Comparer différentes spécifications de parois (isolation, vitrage) pour réduire les besoins de chauffage et refroidissement.
4-5. Option A (1 crédit) : Réduction de la demande de chauffage/froid de 5% par rapport à la réglementation locale.
6-7. Option B (2 crédits) : Réduction de la demande de chauffage/froid de 10% par rapport à la réglementation locale.
8. Option C (2 crédits) : Démontrer que l'enveloppe a été optimisée au maximum techniquement possible (M2).</t>
  </si>
  <si>
    <t>Un crédit – Installation de technologies de production d'énergie LZC
9 Une ou plusieurs technologies de production d'énergie LZC éligibles ont été installées par des installateurs compétents.
Un crédit – Respect des objectifs de production d'énergie LZC
10 Obtenir le crédit « Installation de technologies de production d'énergie LZC » (critère 9).
11 L'énergie produite par les technologies de production d'énergie LZC installées doit respecter les objectifs suivants :
11.a Lorsque les panneaux photovoltaïques (PV) sont la seule technologie de production d'énergie LZC installée, l'électricité produite doit :
11.a.i Être égale ou supérieure à celle produite par des panneaux PV de référence couvrant 50 % de la surface du rez-de-chaussée.
OU
11.a.ii Représenter au moins 60 % de la consommation annuelle d'électricité du bâtiment.
11.b Lorsque seules des technologies de production d'énergie LZC autres que les panneaux PV sont installées, l'énergie produite doit :
11.b.i Être égale ou supérieure à 137 kWh/an/m² de surface du rez-de-chaussée. 
OU
11.b.ii Satisfaire au moins 60 % de la demande annuelle du bâtiment pour la source d’énergie concernée.
11.c Lorsque les technologies de production d’énergie à faible consommation d’énergie installées comprennent à la fois des panneaux photovoltaïques et d’autres technologies de production d’énergie à faible consommation d’énergie, les objectifs de production sélectionnés, tels qu’indiqués en 11.a et 11.b, doivent être utilisés conjointement et ajustés proportionnellement à la quantité d’électricité produite par chaque technologie (voir M3.4).</t>
  </si>
  <si>
    <t>1. Identifier les éléments consommateurs d'énergie non réglementée (c'est-à-dire hors tertiaire : CVC, éclairage et ECS, voir M1).
Exemples d'équipements : Réfrigérateurs / Congélateurs / Lave-linge / Sèche-linge / Climatiseurs individuels / Écrans d'ordinateur / Lave-vaisselle / Téléviseurs
2. Estimer la consommation énergétique annuelle prévue des équipements concernés identifiés au critère 1 (voir M2).
3. Déterminer le ratio entre la consommation d'énergie "non-réglementée" et la consommation d'énergie "réglementée" des équipements concernés afin de calculer le nombre de crédits disponibles (voir tableau 30 ci-dessous et M3).
4. Déterminer quels équipements concernés sont économes en énergie (voir M4).</t>
  </si>
  <si>
    <t>1. Identifier les systèmes consommateurs d'énergie "non-réglementée" (voir M1).
Exemple : Éclairage extérieur / Stockage frigorifique / Ascenseurs et escaliers mécaniques / Piscines / Blanchisseries / Systèmes de refroidissement dans les salles serveurs
2. Estimer la consommation énergétique annuelle prévue des systèmes concernés identifiés au critère 1 (voir M2).
3. Déterminer le ratio entre l'énergie "non-réglementée" consommée par les systèmes concernés et l'énergie réglementée consommée afin de calculer le nombre de crédits disponibles (voir tableau 32 ci-dessous et M3).
4. Identifier les systèmes concernés qui sont économes en énergie (voir M4).</t>
  </si>
  <si>
    <t>1. Identifier les systèmes installés sur site et leur capacité de réponse flexible à la demande.
2. Le nombre de crédits attribués dépend du nombre de crédits disponibles et du pourcentage de points de réponse flexible à la demande attribués (voir tableau 39).</t>
  </si>
  <si>
    <t>Commande des équipements</t>
  </si>
  <si>
    <t>1. Déterminer le nombre de points de commande disponibles en fonction des services CVC installés et des détails du système concerné.
2. Déterminer le nombre de points de commande opérationnels en fonction de la fonctionnalité des commandes.
3. Le nombre de crédits accordés est déterminé par la proportion de points de commande opérationnels parmi les points disponibles (voir tableau 42 à la page suivante et M1).</t>
  </si>
  <si>
    <t>1. Réaliser une évaluation des transports spécifique au site avant la fin de la phase de conception préliminaire : voir M1.
2. Élaborer un plan de mobilité spécifique au site, conformément aux recommandations de l’évaluation des transports, avant la fin de la phase de conception préliminaire : voir M3.
3. Démontrer que le plan de mobilité peut guider la mise en œuvre appropriée de mesures de transport durable lors des phases de conception, de construction et d’occupation, et qu’il peut être soutenu par la direction du bâtiment pendant son exploitation.</t>
  </si>
  <si>
    <t>Tra 02a</t>
  </si>
  <si>
    <t>Tra 02b</t>
  </si>
  <si>
    <t>Mise en place de mesure pour les transports durables (non résidentiel)</t>
  </si>
  <si>
    <t>Mise en place de mesure pour les transports durables (résidentiel)</t>
  </si>
  <si>
    <t>Un programme de durabilité clair est développé avant l'achèvement de la conception initiale qui définit :
a. Les exigences du client, par exemple les conditions environnementales internes requises
b. Les objectifs et les cibles de durabilité comprenant le classement BREEAM visé, les objectifs de l'entreprise, etc.
c. Délais et budget
d. Liste des personnes consultées et les rendez-vous professionnels qui peuvent être requis, par exemple acousticien qualifié, etc.
e. Contraintes pour le projet, par exemple techniques, juridiques, physiques, environnementales.</t>
  </si>
  <si>
    <t>Avant l'achèvement de la phase de travail de conception initiale, tous les tiers concernés ont été consultés par l'équipe de conception.</t>
  </si>
  <si>
    <t>Un responsable durabilité a été désigné pour faciliter l'établissement et la réalisation d'objectifs de performance BREEAM pour le projet.</t>
  </si>
  <si>
    <t>Un responsable durabilité est nommé pour suivre les progrès par rapport aux objectifs de performance BREEAM convenus tout au long du processus de conception et rendre compte formellement au client des progrès de l'équipe conception.</t>
  </si>
  <si>
    <t>Un coût de cycle de vie (LCC – Life Cycle Cost) élémentaire a été réalisé à l'étape de la conception initiale, ainsi que toute évaluation d'option de conception. Selon ISO 15686-5:2008</t>
  </si>
  <si>
    <t>Un plan de LCC au niveau composants a été développé avant la fin du processus du PRO, selon la norme ISO 15686-5:2008</t>
  </si>
  <si>
    <t>Indiquer au BRE le coût total de l'opération</t>
  </si>
  <si>
    <t>Tous les produits en bois et à base de bois utilisés dans le projet sont certifiés « Bois légalement récoltés et négocié » (FSC - PEFC)
Le projet se conforme aux obligations réglementaires de sécurité et de santé</t>
  </si>
  <si>
    <t>L'entrepreneur principal est certifié ISO14001 ou équivalent.
Mettre en place les meilleures pratiques en termes de politiques de prévention et procédures environnementales sur site.</t>
  </si>
  <si>
    <t>Un responsable durabilité est nommé pour suivre le projet pour garantir la conformité continue avec les critères pertinents de performance et de processus de durabilité, et donc les objectifs BREEAM, au cours des étapes de construction, de livraison et de clôture.</t>
  </si>
  <si>
    <t>le constructeur principal s’organise d’une manière qui garantisse un accès sûr et approprié au chantier, aux alentours et sur le chantier lui-même. Il respecte les critères identifiés par thème de la checklist (1point) et 6 critères de plus (2 points)</t>
  </si>
  <si>
    <t>Une personne sur site est en charge du suivi de la consommation d'énergie, des émissions de CO2 qui en résultent et de la consommation d'eau potable pour le chantier.</t>
  </si>
  <si>
    <t>Suivre et enregistrer les données sur les mouvements de transport et les impacts résultant de la livraison de la majorité des matériaux des travaux de rénovation ou d'aménagement vers le chantier et des déchets.</t>
  </si>
  <si>
    <t>Atteindre l'ensemble des items de la table 10.</t>
  </si>
  <si>
    <t>Planifier le commissionnement, nommer un responsable au sein de l'équipe. Inclure le commissionnement au planning.</t>
  </si>
  <si>
    <t>Un spécialiste du commissionnement est désigné avant la fin de l'APD et est présent jusqu'à la livraison.</t>
  </si>
  <si>
    <t>l'intégrité des matériaux du bâtiment, y compris la continuité de l'isolation, l'évitement des ponts thermiques et les fuites d'air est assurée par la réalisation des essais et de l'inspection postconstruction.
Les défaut identifiés sont corrigés avant la livraison du bâtiment</t>
  </si>
  <si>
    <t>Il y a (ou il y aura) une infrastructure de fonctionnement et des ressources en place pour fournir des services de suivi aux occupants du bâtiment ET pour coordonner la collecte et le suivi des données de consommation d'énergie et d'eau pour un minimum de 12 mois.</t>
  </si>
  <si>
    <t>Les activités de commissionnement saisonnier sont réalisées sur une période minimale de 12 mois, une fois que le bâtiment est occupé de manière importante.</t>
  </si>
  <si>
    <t>Le client ou l'occupant du bâtiment prend l'engagement de procéder à un exercice d'évaluation post occupation (EPO) un an après l'occupation initiale du bâtiment.</t>
  </si>
  <si>
    <t>Créer une feuille de route chiffrée (technique et financière) pour supprimer toute combustion fossile et atteindre le Net Zéro d'ici 2050 au plus tard (alignement sur l'engagement COP21), avec un suivi annuel des indicateurs.</t>
  </si>
  <si>
    <t>Option A : Au moins 95 % des zones concernées doivent avoir des fenêtres (verticales ou inclinées) représentant au moins 20 % de la surface de la paroi environnante.
Option B : Au moins 80 % des zones concernées doivent avoir une surface vitrée équivalente à au moins 7 % de la surface au sol.</t>
  </si>
  <si>
    <t>Identifier les zones à risque via un diagnostic spécifique.
Mettre en place des solutions pour éliminer l'éblouissement dans les zones à risque.
Efficacité énergétique : La stratégie ne doit pas augmenter la consommation d'éclairage artificiel. Pour cela, il faut : Maximiser l'apport de lumière quel que soit le temps (nuageux ou ensoleillé).
S'assurer que les protections solaires ne perturbent pas les systèmes de gestion automatique de l'éclairage.</t>
  </si>
  <si>
    <t>Montrer un niveau d'éclairement naturel suffisant (respect des seuils de luminance, ou d'autonomie en lumière du jour). Table 13 ou EN 17037:2018+A1:2021 ou ES LM-83-23</t>
  </si>
  <si>
    <t>Toutes les unités concernées doivent posséder au moins une pièce recevant au moins 3 heures de soleil direct par les fenêtres le jour de l'équinoxe (21 mars ou 21 septembre).</t>
  </si>
  <si>
    <t>Option A (Distance à la fenêtre) : 95 % de la surface au sol dans 95 % des espaces doivent être à une distance d'une fenêtre permettant une vue adéquate. La taille de la fenêtre requise augmente avec la distance :
&lt; 8 m : Fenêtre ≥ 20 % de la paroi ; 8 à 11 m : Fenêtre ≥ 25 % de la paroi ; 11 à 14 m : Fenêtre ≥ 30 % de la paroi ; &gt; 14 m : Fenêtre ≥ 35 % de la paroi.
Option B (Qualité visuelle) : 75 % de la surface au sol dans 95 % des espaces doivent offrir :
Un angle de vue horizontal ≥ 28°.
Une vue sur le "paysage" ainsi qu'au moins le ciel ou le sol.</t>
  </si>
  <si>
    <t>Validation du crédit sur le contrôle de l'éblouissement et restpect d'un des critères suivants :
DGP (Probabilité d'Éblouissement) : Ne doit pas dépasser 0,40 pendant plus de 5 % des heures d'exploitation annuelles à tous les postes de travail.
ASE (Exposition Solaire Annuelle) : Pas plus de 10 % de l'espace occupé ne doit recevoir un éclairement de 1 000 lux ou plus pendant plus de 250 heures par an.</t>
  </si>
  <si>
    <t>Atteinte du seuil exemplaire pour l'éclairement en lumière naturelle.</t>
  </si>
  <si>
    <t>Toute l'installation d'éclairage doit être conçue pour minimiser le papillotement (flicker) et les effets stroboscopiques. EU Directive 2009/125/EC</t>
  </si>
  <si>
    <t>L'éclairement, la température de couleur, l'IRC doivent être en conformité avec la norme (EN 12464-1).</t>
  </si>
  <si>
    <t>Le zonage doit respecter 1 commande pour 4 personnes max en bureaux, le contrôle doit être laissé aux occupant</t>
  </si>
  <si>
    <t>L'éclairage doit pouvoir être contrôlé graduellement jusqu'à moins de 20% de sa puissance maximale. La température de couleur doit pouvoir varier de 2 700k ou moins à 4 000 k ou plus.</t>
  </si>
  <si>
    <t>Avoir au moins 1 crédit pour la lumière naturelle.
Toutes les zones concernées doivent respecter un niveau d'éclairement spécifique exprimé en lux mélanopique EDI (Equivalent Daylight Illuminance). Le seuil est de 250 lux mélanopique EDI pendant au moins 4 heures durant la journée (débutant au plus tard à midi).
Modulation du Flux et du Spectre
Le système d'éclairage électrique doit être capable d'ajuster son flux et sa sortie spectrale (Tunable White).
Objectif : Permettre une réduction de l'EDI mélanopique l'après-midi et le soir afin de respecter les besoins physiologiques des occupants selon l'usage du bâtiment.</t>
  </si>
  <si>
    <t>Les matériaux contenant de l'amiante ne doivent pas être prescrits ou installés.</t>
  </si>
  <si>
    <t>Un plan de la qualité de l'air intérieur a été élaboré et mis en œuvre, avec l'objectif de faciliter un processus qui mène à concevoir, spécifier et implémenter des décisions d'installation et des actions qui minimisent la pollution de l'air intérieur.</t>
  </si>
  <si>
    <t>Les systèmes de ventilation minimisent la concentration de polluants dans le bâtiment, selon la norme EN ISO 17772-1 et EN 16798-1 sur les prises et rejets d'air, la filtration, et pour les espaces adéquat, un contrôle du CO2. Notamment 7 l/s/pers.</t>
  </si>
  <si>
    <t>3 catégories sur 5 des éléments en contact avec l'air intérieur (peintures, vernis, produits en bois, revêtements de sol, faux plafonds, isolants thermiques et acoustiques, colles et joints) doivent respecter des seuils d'émission dans l'air intérieur pour les COVT ( ≤ 1.0 mg/m³), les formaldéhydes (≤ 0.06 mg/m³) et les produits cancérigènes 1A et 1B (≤ 0.001 mg/m³). (2 points si toutes les catégories valident le niveau)</t>
  </si>
  <si>
    <t>Les niveaux de concentration de Formaldéhyde ET de Composants Organiques Volatiles Totaux (TVOC) sont mesurés postconstruction et inférieurs à un seuil (respectivement ≤ 100µg/m³ et ≤ 300µg/m³).</t>
  </si>
  <si>
    <t>4 catégories sur 5 des éléments en contact avec l'air intérieur (peintures, vernis, produits en bois, revêtements de sol, faux plafonds, isolants thermiques et acoustiques, colles et joints) doivent respecter des seuils d'émission dans l'air intérieur pour les COVT ( ≤ 0.3 mg/m³), les SCOVT (≤ 0.1 mg/m³) les formaldéhydes (≤ 0.01 mg/m³) et les produits cancérigènes 1A et 1B (≤ 0.001 mg/m³). (Toutes les catégories pour 2 points)</t>
  </si>
  <si>
    <t>Une Simulation Thermique Dynamique de confort est menée, avec les indicateurs PMV (predicted mean vote) et PPD (predicted percentage of dissatisfied) de la norme ISO 7730:2005. Le confort thermique respecte le niveau B de la norme.</t>
  </si>
  <si>
    <t>Respecter les mêmes consignes que pour la modélisation thermique mais sur un scénario de changement climatique.</t>
  </si>
  <si>
    <t>Le zonage thermique est en accord avec le comportement du bâtiment et correspond aux données d'entrée de la STD.</t>
  </si>
  <si>
    <t>Un acousticien est missionné sur le projet.</t>
  </si>
  <si>
    <t>Les niveaux de bruit ambiant interne et externe respectent les codes de bonne pratique. Une mesure à réception est effectuée pour l'attester. (Bureaux à occupation multiple 40-50 dB LAeqT)</t>
  </si>
  <si>
    <t>L'isolation acoustique interne et externe respectent les codes de bonne pratique. Une mesure à réception est effectuée pour l'attester. (Dw + LAeqT &gt; 75 hors locaux spécifiques)</t>
  </si>
  <si>
    <t>Les temps de réverbération ou les aires d'absorption équivalente respecte les codes de bonne pratique.</t>
  </si>
  <si>
    <t>Le bâtiment respecte les normes de performances acoustiques et des tests sont effectués à réception.</t>
  </si>
  <si>
    <t>Mise en place de pistes cyclables et cheminements piétons sûrs. Les zones de livraison permettent de manœuvrer simplement et ne croisent pas les autres flux.</t>
  </si>
  <si>
    <t>Bâtiment inclusif dans son ensemble. Plus particulièrement pour: les personnes à mobilité réduite, toutes les tranches d'âge, origine, genre, forme physique, les personnes accompagnées d'enfants. Voir checklist A3. Une stratégie doit être mise en place</t>
  </si>
  <si>
    <t>Un spécialiste de la sécurité et nommé et fait des recommandations sur le projet en phase de conception (APS). Les recommandations sont intégrées au projet. Des écarts sont possibles en consultant le spécialiste.</t>
  </si>
  <si>
    <t>Une évaluation des risques est menée en ESQ ou APS. 
Lorsqu’un danger potentiel est identifié, des mesures d’atténuation correspondant au niveau de risque doivent être identifiées par une personne appropriée et mises en œuvre.</t>
  </si>
  <si>
    <t>Les points s'obtiennent en fonction de la performance sur le calcul RE2020. Plus le Cep du projet est bas, plus le nombre de points attribués est important.</t>
  </si>
  <si>
    <t>Tous les usages RT sont couverts par une production d'énergie renouvelable locale et les autres usages sont couverts à 0 / 50 / 100% par une production d'énergie renouvelable locale</t>
  </si>
  <si>
    <t>Aucune énergie fossile dans le bâtiment (sauf pour du process spécifique)</t>
  </si>
  <si>
    <t>Mise en place d'une stratégie énergétique pour le projet en phase APS. (enveloppe, systèment, ENR)</t>
  </si>
  <si>
    <t>Un modèle énergétique du bâtiment a été réalisé et prévoit les consommations par usage avec différents scénarios.</t>
  </si>
  <si>
    <t>Une évaluation des risques de dérive énergétique a été menée. Il peut être prouvé que la performance énergétique a été sensiblement améliorée.</t>
  </si>
  <si>
    <t>Un atelier d'optimisation énergétique a été mis en place. Il peut être prouvé que la performance énergétique a été sensiblement améliorée. La plateforme BREEAM attribue un nombre de point selon la performance de la SED.</t>
  </si>
  <si>
    <t>Un objectif de performance énergétique en exploitation a été communiqué aux parties prenantes et rendu public avant la réception des travaux</t>
  </si>
  <si>
    <t>Les résultats de la modélisation de la consommation énergétique prédictive ont fait l'objet d'une validation par une tierce partie indépendante</t>
  </si>
  <si>
    <t>Tous les points Ene03 sont acquis. Les sorties de la modélisation énergétique incluent une ventilation de la consommation d'énergie par sous-compteur, alignée avec le plan de comptage du bâtiment.</t>
  </si>
  <si>
    <t>Le client ou l'occupant du bâtiment s'engage financièrement à faire mesurer la consommation énergétique réelle par un assesseur énergétique dûment qualifié, une fois que le bâtiment atteint son seuil d'occupation.</t>
  </si>
  <si>
    <t>Les systèmes de mesure de l'énergie installés permettent d'assigner 90% de la consommation énergétique de chaque source à une catégorie d'utilisation finale. Un système de contrôle et de gestion de l'énergie est installé.
Les services consommateurs d'énergie sont identifiables par les utilisateurs du bâtiment.</t>
  </si>
  <si>
    <t>Un système de surveillance et de gestion de l'énergie accessible ou des compteurs d'énergie accessibles séparés avec un signal de sortie impulsionnel ou d'autres protocoles de communication ouverts pour permettre une future connexion à un système de surveillance et de gestion de l'énergie sont fournis.</t>
  </si>
  <si>
    <t>Analyse effectuée dès le stade Concept (esquisse) pour explorer l'effet de la forme architecturale sur la demande énergétique. Il faut prouver que cette étude a réellement influencé le design final.</t>
  </si>
  <si>
    <t>Analyse obligatoire : Comparer différentes spécifications de parois (isolation, vitrage) pour réduire les besoins de chauffage et refroidissement.
Option A : Réduction de la demande de chauffage/froid de 5% par rapport à la réglementation locale.
Option B : Réduction de la demande de chauffage/froid de 10% par rapport à la réglementation locale.
Option C : Démontrer que l'enveloppe a été optimisée au maximum techniquement possible.</t>
  </si>
  <si>
    <t>Premier crédit : installation d'une production d'énergie renouvelable locale.
Deuxième crédit : production d'au moins 60% de la consommation annuelle du bâtiment.</t>
  </si>
  <si>
    <t>Le nombre de crédits dépend du ratio entre la consommation énergétique des équipements hors RE/RT et la consommation RE/RT. De 1 à 5 par tranche de 10% jusqu'à 40%.
Les équipements industriels / temporaires / utilisé uniquement pour les situations d'ugence / existants / mobiles sont exclus de l'évaluation. Il en va de même pour les équipements pour lesquels le coût de l'amélioration de la performance est supérieur à l'économie réalisée.
Exemples de systèmes :
Le nombre de point atteint est proportionnel à la consommation des équipements "performants" sur la consommation totale des équipements du périmètre.
Exemples d'équipements :
Réfrigérateurs / Congélateurs / Lave-linge / Sèche-linge / Climatiseurs individuels / Écrans d'ordinateur / Lave-vaisselle / Téléviseurs</t>
  </si>
  <si>
    <t>Le nombre de crédits dépend du ratio entre la consommation énergétique des systèmes hors RE/RT et la consommation RE/RT. De 1 à 9 par tranche de 10% jusqu'à 80%.
Les systèmes industriels / temporaires / utilisé uniquement pour les situations d'ugence / existants / mobiles sont exclus de l'évaluation. Il en va de même pour les équipements pour lesquels le coût de l'amélioration de la performance est supérieur à l'économie réalisée.
Le nombre de point atteint est proportionnel à la consommation des systèmes "performants" sur la consommation totale des systèmes du périmètre.
Éclairage extérieur / Stockage frigorifique / Ascenseurs et escaliers mécaniques / Piscines / Blanchisseries / Systèmes de refroidissement dans les salles serveurs</t>
  </si>
  <si>
    <t>Les points se calculent en fonction du nombre de systèmes pouvant répondre aux signaux du fournisseur d'électricité (chauffage / refroidissement / bornes IRVE / ECS / autres systèmes (batteries))</t>
  </si>
  <si>
    <t>Jusqu'à 2 points en fonction des possibilités de contrôle des équipements de chauffage, refroidissement et ventilation.</t>
  </si>
  <si>
    <t>Le crédit TRA01 doit être atteint.
Le projet obtient des points en fonction des mesures de déplacement doux mise en place et de son niveau d'accessiblité en transport en commun. 
Mesures possibles : information sur les transports locaux dans le bâtiment, installation de bornes IRVE, favoriser l'auto-partage, emplacements vélos, douches et casiers, présence d'aménités)</t>
  </si>
  <si>
    <t>Description v7</t>
  </si>
  <si>
    <t>Description v6</t>
  </si>
  <si>
    <t>Etude spécifique au site analysant l'accessibilité actuelle (transports en commun, réseaux cyclables, accès piétons) et les besoins futurs générés par le projet.
Mise en place d'un plan de déplacement sur la base des conclusions de l'étude de site. 
A réaliser en APS.</t>
  </si>
  <si>
    <t>1. Réalisez une évaluation des transports et un plan de déplacement conformément à Tra 01. Si ces documents sont finalisés après la phase de conception, ils peuvent néanmoins être utilisés pour satisfaire à cette exigence.
2. Calculez les crédits comme suit :
2.a. Reportez-vous au score de l’Indice d’accessibilité des transports publics (IATP) calculé dans Tra 01. Ce score servira à pondérer les points attribués dans Tra 02b.
2.b. Attribuez des points pour les mesures de transport durable mises en œuvre dans Tra 02b, conformément au tableau 57 (page 243).
2.c. Utilisez le tableau 58 (page 243) pour convertir le nombre de points obtenus pour les mesures de transport durable en crédits, pondérés par le score IATP.</t>
  </si>
  <si>
    <t>1. Réalisez une évaluation des transports et un plan de déplacement conformément à Tra 01. Si ces documents sont finalisés après la phase de conception préliminaire, ils peuvent néanmoins être utilisés pour satisfaire à cette exigence.
2. Calculez les crédits comme suit :
2.a Reportez-vous au score de l’Indice d’accessibilité des transports publics (IATP) calculé dans Tra 01. Ce score servira à pondérer les points attribués dans Tra 02a.
2.b Attribuez des points pour les mesures de transport durable mises en œuvre dans Tra 02, conformément au tableau 48 (page 226).
2.c Utilisez le tableau 49 (page 226) pour convertir le nombre de points obtenus pour les mesures de transport durable en crédits, pondérés par le score IATP.</t>
  </si>
  <si>
    <r>
      <t xml:space="preserve">1. Déterminer l'efficacité hydrique de tous les composants consommateurs d'eau concernés.
2. Déterminer la quantité d'eau recyclée attendue des systèmes d'eaux noires, d'eaux grises et d'eaux pluviales approuvés.
3. Le nombre de crédits accordés est déterminé par le pourcentage d'amélioration de la consommation d'eau potable (en litres par personne et par jour) pour le bâtiment concerné par rapport à un bâtiment de référence (voir tableau 62).
Pourcentage d'amélioration par rapport à la valeur de référence </t>
    </r>
    <r>
      <rPr>
        <sz val="11"/>
        <color theme="1"/>
        <rFont val="Arial"/>
        <family val="2"/>
      </rPr>
      <t>≥ 85% pour obtenir un crédit supplémentaire en plus des 6 précédents.</t>
    </r>
  </si>
  <si>
    <r>
      <t xml:space="preserve">1. Déterminer l'efficacité hydrique de tous les composants consommateurs d'eau concernés.
2. Déterminer la quantité d'eau recyclée attendue des systèmes d'eaux noires, d'eaux grises et d'eaux pluviales approuvés.
3. Le nombre de crédits accordés est déterminé par le pourcentage d'amélioration de la consommation d'eau potable (en litres par personne et par jour) pour le bâtiment concerné par rapport à un bâtiment de référence (voir tableau 62).
Pourcentage d'amélioration par rapport à la valeur de référence </t>
    </r>
    <r>
      <rPr>
        <sz val="11"/>
        <color theme="1"/>
        <rFont val="Arial"/>
        <family val="2"/>
      </rPr>
      <t>≥ 15% pour 1 crédit, ≥ 75% pour 5 crédit</t>
    </r>
  </si>
  <si>
    <t>1. Un compteur d'eau avec sortie à impulsions ou autre protocole ouvert est installé sur toutes les alimentations en eau potable du bâtiment.
2. Les zones du bâtiment ou les installations consommatrices d'eau présentant une demande importante doivent être équipées de sous-compteurs facilement accessibles ou d'un système de surveillance de la consommation d'eau intégré à l'installation ou à la zone.
3. Un système de surveillance de la consommation d'eau adapté à la taille du bâtiment est en place.
3.a. Pour les bâtiments d'une surface intérieure brute ≥ 1 000 m², les compteurs d'eau sont connectés à un système de surveillance et de gestion.
3.b. Pour les bâtiments d'une surface intérieure brute &lt; 1 000 m², les compteurs d'eau sont soit :
3.b.i. Connectés à un système de surveillance et de gestion de l'eau approprié.
3.b.ii. Des compteurs accessibles avec sorties à impulsions ou autres protocoles de communication ouverts.
4. Les personnes responsables du suivi de la consommation d'eau du bâtiment doivent pouvoir identifier clairement les usages de l'eau et les zones couvertes par chaque compteur.</t>
  </si>
  <si>
    <t>Dispositifs de contrôle des débits (tous les bâtiments sauf les bâtiments résidentiels)</t>
  </si>
  <si>
    <t>Isolation des fuites (résidentiel uniquement)</t>
  </si>
  <si>
    <t>1. Installer un système de détection de fuites capable de détecter une fuite d'eau importante :
1.a Sur le réseau d'alimentation en eau du bâtiment, afin de détecter toute fuite importante à l'intérieur du bâtiment.
ET
1.b Entre le bâtiment et le réseau d'alimentation en eau, afin de détecter toute fuite importante entre le réseau et le bâtiment concerné.</t>
  </si>
  <si>
    <t>2. Des dispositifs de contrôle de débit qui régulent l'approvisionnement en eau de chaque zone ou installation WC en fonction de la demande sont installés.</t>
  </si>
  <si>
    <t>3. Les vannes d'isolement sont placées dans un endroit accessible permettant de couper manuellement l'eau chaude et l'eau froide séparément pour les alimentations suivantes :
3.a Arrivée d'eau du logement
3.b Robinets
3.c Douches
3.d Systèmes de chauffage ou d'eau chaude sanitaire
3.e Appareils électroménagers (ex. : lave-vaisselle, lave-linge, etc.)
4. Les vannes d'isolement doivent être clairement étiquetées.</t>
  </si>
  <si>
    <t>De 1 à 3 crédit selon l'importace des consommations d'eau non sanitaire. 
Installation de système à faible consommation d'eau pour les consommations d'eau non sanitaires (arrosage, lavage, refroidissement, piscines, autres).</t>
  </si>
  <si>
    <t>Equipements à faible consommation d'eau pour usage autre que sanitaire</t>
  </si>
  <si>
    <t>1</t>
  </si>
  <si>
    <t>2-5</t>
  </si>
  <si>
    <t>Annonce d'un objectif de performance en matière de consommation d'eau et engagement à mesurer la consommation d'eau en exploitation</t>
  </si>
  <si>
    <t>1. Estimer la consommation annuelle d'eau opérationnelle (en exploitation) du bâtiment.</t>
  </si>
  <si>
    <t>1. Réalisez une analyse du cycle de vie (ACV) en phase de conception préliminaire pour les matériaux utilisés dans le bâtiment. L'ACV :
1.a Respecte les exigences relatives aux outils et au périmètre définies dans le critère M1.
1.b Inclut les évaluations des options pertinentes, y compris une évaluation de référence. Il n'est pas nécessaire de réaliser un nombre précis d'évaluations d'options pour le projet.
1.c Sert de base au choix des solutions de conception et des matériaux, dans le but de minimiser l'impact environnemental. Si aucune solution alternative à faible impact environnemental n'a été retenue, ce choix doit être justifié.
2. À partir des résultats de l'ACV en phase de conception préliminaire (critère 1), indiquez les émissions de carbone intrinsèque des matériaux utilisés dans le bâtiment. Les résultats doivent être présentés via la plateforme BREEAM. Pour garantir la cohérence, veuillez suivre les exigences du critère M2.</t>
  </si>
  <si>
    <t>3. Réalisez une analyse du cycle de vie (ACV) en phase de conception technique pour les matériaux utilisés dans le bâtiment. L'ACV doit :
3.a Respecter les exigences relatives aux outils et au périmètre définies dans M1.
3.b Inclure au moins une évaluation illustrant l'évolution de la conception et des spécifications lors de la phase de conception technique.
4. À partir des résultats de l'ACV de conception technique (critère 3), indiquez les émissions de carbone intrinsèque liées aux matériaux utilisés dans le bâtiment. Les résultats doivent être présentés via la plateforme BREEAM. Pour garantir la cohérence, veuillez suivre les exigences de M2.</t>
  </si>
  <si>
    <t>5. Réaliser une analyse du cycle de vie (ACV) post-construction à partir des matériaux utilisés dans le bâtiment. L'ACV doit :
5.a Respecter les exigences relatives aux outils et au périmètre défini dans le critère M1.
5.b Inclure les spécifications de l'ouvrage réalisé après la construction.
6. À partir des résultats de l'ACV post-construction (critère 5), indiquez les émissions de carbone indirectes liées aux matériaux utilisés dans le bâtiment. Les résultats doivent être présentés via la plateforme BREEAM. Pour garantir la cohérence, veuillez suivre les exigences du critère M2.</t>
  </si>
  <si>
    <t>Performance de l'ACV selon le BRE</t>
  </si>
  <si>
    <t>8. Un tiers dûment qualifié vérifie l'analyse du cycle de vie (ACV) du bâtiment. Ce tiers doit :
8.a. Produire un rapport décrivant comment il a vérifié que l'ACV du bâtiment représente fidèlement les conceptions envisagées lors des phases suivantes :
8.a.i. de conception préliminaire,
8.a.ii. de conception technique, et
8.a.iii. de post-construction (uniquement pertinent si les critères 5 et 6 ont été ciblés).
8.b. Détailler dans le rapport les vérifications effectuées pour chaque option d'ACV. Ces vérifications doivent au minimum inclure les exigences de qualité présentées dans le tableau 69 du document M3.
8.c. Inclure dans le rapport le détail de ses compétences et de son expérience pertinentes, ainsi qu'une déclaration attestant de son indépendance vis-à-vis du client et de l'équipe de conception.
9. Toute recommandation formulée dans le rapport de vérification par un tiers doit être mise en œuvre et justifiée.</t>
  </si>
  <si>
    <t xml:space="preserve"> ACV vérifiée par un tiers</t>
  </si>
  <si>
    <t>Publication de l'ACV à chaque phase</t>
  </si>
  <si>
    <t>10 Pour chaque phase de projet ayant fait l’objet d’une ACV, soumettez les résultats et les données d’ACV ou de carbone à une base de données d’ACV ou de carbone publique pertinente. Si aucune option locale ou nationale appropriée n’est disponible, soumettez les données à la base de données carbone du secteur bâti (BECD).</t>
  </si>
  <si>
    <t>1. Spécifiez les produits de construction dotés de déclarations environnementales de produit (DEP) atteignant un score total d'au moins 20 points DEP, conformément à la méthode M1.
2. Saisissez les détails de chaque DEP sur la plateforme BREEAM, y compris la classification de la catégorie de matériau. Le score DEP et le nombre de crédits obtenus seront calculés automatiquement.</t>
  </si>
  <si>
    <t>1. Tout le bois et les produits dérivés du bois utilisés dans le cadre de ce projet provient du bois récolté et commercialisé légalement.</t>
  </si>
  <si>
    <t>2. Un plan d'approvisionnement durable doit être utilisé par l'équipe de conception pour orienter les spécifications vers des produits de construction durables. Ce plan doit :
2.a Être en place avant la fin de la conception préliminaire.
2.b Inclure des objectifs, des cibles et des cibles stratégiques de durabilité pour orienter les activités d'approvisionnement. L'atteinte des cibles n'est pas nécessaire pour l'octroi de crédits après la construction, mais une justification doit être fournie pour les cibles non atteintes.
2.c Inclure une exigence d'évaluation du potentiel d'approvisionnement local en produits de construction. Une politique d'approvisionnement local en produits de construction, dans la mesure du possible, doit être mise en place.
2.d Inclure le détail des procédures en place pour vérifier la mise en œuvre effective du plan d'approvisionnement durable.
2.e La politique et les procédures documentées doivent être diffusées à tout le personnel interne et externe concerné et intégrées au contrat de construction afin d'en garantir l'applicabilité au projet évalué. 
En outre, si le plan est appliqué à plusieurs sites ou adopté au niveau organisationnel, il doit :
2.f Identifier les risques et les opportunités liés aux achats au regard d’un large éventail de questions sociales, environnementales et économiques en suivant le processus défini dans la norme ISO 20400:2017.</t>
  </si>
  <si>
    <t>Mesurer l’approvisionnement responsable</t>
  </si>
  <si>
    <t>3 Sur la plateforme BREEAM, utilisez le calculateur Mat 03 et suivez les instructions M1 pour déterminer le nombre de crédits obtenus pour les produits de construction. Les crédits sont attribués proportionnellement à l'étendue de l'évaluation (voir M2) et au nombre de
points obtenus, comme indiqué dans le tableau 72.
Supérieur à 50%</t>
  </si>
  <si>
    <t>Protection des parties vulnérables du bâtiment contre les dommages
1. Des mesures de protection sont intégrées à la conception et à la construction du bâtiment afin de réduire les dommages à sa structure ou à ses matériaux en cas de dommages accidentels ou intentionnels. Ces mesures doivent assurer une protection contre :
1.a Les impacts négatifs d’une forte fréquentation dans les zones concernées du bâtiment (par exemple, les couloirs, les ascenseurs, les escaliers, les portes, etc.).
1.b Les dommages causés par la circulation de véhicules ou de chariots à moins d’un mètre de la structure interne du bâtiment dans les zones de stockage, de livraison, les couloirs et les cuisines.
1.c Les dommages causés à la structure externe du bâtiment par un véhicule. Protection des zones de stationnement ou de manœuvre situées à moins d’un mètre de la façade du bâtiment et des zones ou voies de livraison situées à moins de deux mètres de la façade, par exemple par la mise en place de bornes ou de garde-corps.
1.d Les dommages potentiels causés intentionnellement aux matériaux et finitions du bâtiment, dans les espaces publics et communs, le cas échéant.
Protection des parties exposées du bâtiment contre la dégradation des matériaux
2 Les principaux éléments exposés du bâtiment ont été conçus et spécifiés pour limiter la dégradation à court et à long terme due aux facteurs environnementaux (voir M3).
3 Élaborer une stratégie d'accès à la toiture et à la façade pour un nettoyage, un remplacement et une réparation économiques, intégrés à la conception du bâtiment.
4 Concevoir la toiture et la façade de manière à prévenir les dégâts d'eau, les infiltrations et la formation de flaques d'eau.</t>
  </si>
  <si>
    <t>1. Aux étapes de préparation, de définition du cahier des charges et de conception préliminaire, fixez des objectifs et consignez les opportunités et les méthodes permettant d'optimiser l'utilisation des matériaux. Cette démarche doit être effectuée pour chacune des étapes suivantes (voir tableau 81) :
1.a Préparation et définition du cahier des charges
1.b Conception préliminaire
1.c Conception détaillée
1.d Conception technique
1.e Construction.
2. Élaborez et documentez la mise en œuvre des mesures d'efficacité des matériaux (voir tableau 81) lors des étapes suivantes :
2.a Conception détaillée
2.b Conception technique
2.c Construction.
3. Rendez compte des objectifs et des gains d'efficacité des matériaux réellement atteints.</t>
  </si>
  <si>
    <t>1. Réaliser un audit préalable à la démolition de tous les bâtiments, structures ou surfaces dures existants dont la démolition est envisagée.
Cet audit doit permettre de déterminer la faisabilité d'une rénovation ou d'une réutilisation et, en cas de démolition, d'optimiser la
récupération des matériaux pour des applications ultérieures à haute valeur ajoutée. L'audit doit couvrir le contenu de la section M1 : Périmètre de l'audit préalable à la démolition et :
1.a Être réalisé dès la phase de conception préliminaire par une personne compétente, avant les travaux de démolition ou de démantèlement.
1.b Orienter la conception, prendre en compte les matériaux réutilisables et définir des objectifs de gestion des déchets.
1.c Impliquer tous les entrepreneurs dans le processus d'optimisation des possibilités de réutilisation et de recyclage des matériaux de haute qualité.
2. Faire référence à l'audit dans le plan de gestion des ressources (PGR).
3. Comparer les volumes de déchets réellement produits et les filières de gestion des déchets utilisées avec les prévisions et analyser les écarts significatifs par rapport aux objectifs fixés.</t>
  </si>
  <si>
    <t>Un crédit pour :
4. Élaborer un plan de gestion des ressources conforme (voir M2) couvrant :
4.a Les déchets non dangereux (issus de la construction sur site et de la fabrication hors site dédiée), y compris les déchets de démolition et d’excavation.
4.b Des enregistrements précis des données relatives aux déchets produits et à leurs circuits de gestion.
5. Définir des objectifs appropriés (voir M3) pour les déchets non dangereux et dangereux produits sur site, exprimés en m³ de déchets pour 100 m² ou en tonnes de déchets pour 100 m².
6. À partir des données collectées, déclarer la quantité de déchets générés pour 100 m² (surface intérieure brute) en m³ (le volume correspondant au volume réel des déchets, et non au volume total) ou en tonnes, issus du processus de construction, via la plateforme BREEAM.
Un crédit pour :
7. Répondre aux critères 1 à 6 (le cas échéant). 
8 Des procédures sont en place pour le tri, la réutilisation et le recyclage des déchets de construction en au moins cinq groupes de déchets définis (voir le tableau 83 à la page 311), soit sur site, soit hors site par l'intermédiaire d'un entrepreneur externe agréé.</t>
  </si>
  <si>
    <t>9. Une quantité importante de déchets de construction et de démolition non dangereux (le cas échéant) générés par le projet a été détournée de la mise en décharge, conformément aux chiffres du tableau 82.
10. Les déchets seront triés en différents groupes de déchets clés (selon les flux de déchets générés par le périmètre des travaux), soit sur le site, soit hors site par un entrepreneur agréé en vue de leur valorisation (voir le tableau 83 à la page 311 pour plus d'informations sur les groupes de déchets).</t>
  </si>
  <si>
    <t>11. Atteindre les critères 1 à 10 (le cas échéant).
12. Le pourcentage de déchets de construction et de démolition non dangereux (le cas échéant) détournés des sites d’enfouissement atteint ou dépasse le niveau de référence exemplaire (voir tableau 82).</t>
  </si>
  <si>
    <t>Une quantité significative des déchets de chantier non dangereux ne terminent pas en centre d'enfouissement (Construction : &gt; 60% en poids OU &gt; 50% en volume et Démolition : &gt; 60% en poids OU &gt; 50% en volume)</t>
  </si>
  <si>
    <t>(Construction : &gt; 75% en poids OU &gt; 65% en volume et Démolition : &gt; 75% en poids OU &gt; 65% en volume)</t>
  </si>
  <si>
    <t>1. Au moins 25 % des granulats de haute qualité utilisés (dans le cadre du projet) proviennent de granulats secondaires ou recyclés. Ce pourcentage peut être exprimé en poids ou en volume.
2. Les granulats recyclés ou secondaires sont soit :
2.a. des déchets de construction, de démolition et d’excavation provenant du site ou d’un autre site ; soit :
2.b. des granulats secondaires.</t>
  </si>
  <si>
    <t>3 Lorsque la quantité totale de granulats recyclés ou secondaires spécifiée est supérieure à 50 % (en poids ou en volume) de la quantité totale de granulats de haute qualité spécifiée pour le projet.
4 Les granulats recyclés ou secondaires utilisés ne doivent pas être transportés par la route sur une distance supérieure à 30 km.</t>
  </si>
  <si>
    <t>1-7</t>
  </si>
  <si>
    <t>Déchets d'exploitation (hors résidentiel)</t>
  </si>
  <si>
    <t>Finitions des opérations spéculatives (Bureaux et immeubles collectifs uniquement)</t>
  </si>
  <si>
    <t>1. Pour les espaces de bureaux loués (dont le futur occupant est inconnu), avant les travaux d'aménagement complets, les moquettes, autres revêtements de sol et les revêtements de plafond ont été installés uniquement dans un espace témoin.
2. Seuls les revêtements de sol et de plafond choisis par l'occupant connu du projet immobilier doivent être installés. À défaut, si l'occupant est inconnu et que seuls les revêtements de plafond sont installés (sans moquette), le propriétaire confirme que les premiers locataires ne seront pas autorisés à apporter de modifications importantes aux revêtements de plafond.
3. Pour les logements collectifs (dont le futur occupant est inconnu), les revêtements de sol, de cuisine et de salle de bains ont été installés uniquement dans un espace témoin.
4. Pour les logements collectifs, les futurs occupants ont choisi (ou accepté) au moins trois des revêtements de sol, de cuisine et de salle de bains spécifiés.</t>
  </si>
  <si>
    <t>Résilience de la structure, des matériaux, des services du bâtiment et des installations d'énergies renouvelables</t>
  </si>
  <si>
    <t>Resilience au changement climatique</t>
  </si>
  <si>
    <t>4. Répondre aux critères 1 à 3 ci-dessus.
5. Obtenir les critères ou les crédits indiqués dans le tableau 84 : Hea 05, Hea 10, Ene 01, Wat 01, Mat 04 et Pol 03</t>
  </si>
  <si>
    <t>1. À la fin de la conception préliminaire, mener une étude pour explorer le potentiel de démontage et d'adaptation de différents scénarios de conception (voir M1).
2. À la fin de la conception préliminaire, élaborer des solutions, basées sur l'étude (critère 1), permettant le démontage et l'adaptabilité (voir M1).</t>
  </si>
  <si>
    <t>3. Atteindre les critères 1 et 2.
4. Lors de la conception technique, fournir une mise à jour sur les points suivants (voir M2) :
4.a. Comment les solutions proposées lors de la conception préliminaire ont été mises en œuvre lorsque cela était possible et rentable. Toute omission doit être clairement justifiée.
4.b. Modifications apportées aux recommandations et aux solutions lors de l’élaboration de la conception technique.
5. Produire un manuel de conception du bâtiment pour le démontage et l’adaptabilité (voir Définitions et M2) afin de communiquer les principes et caractéristiques de démontage et d’adaptabilité aux futurs propriétaires ou exploitants du bâtiment.</t>
  </si>
  <si>
    <t>Lue 01</t>
  </si>
  <si>
    <t>Lue 02</t>
  </si>
  <si>
    <t>Lue 02X</t>
  </si>
  <si>
    <t>Lue 03</t>
  </si>
  <si>
    <t>Lue 04</t>
  </si>
  <si>
    <t>Lue 04X</t>
  </si>
  <si>
    <t>Lue 05</t>
  </si>
  <si>
    <t>1 Un pourcentage de l’emprise du projet proposé se situe sur un terrain qui était auparavant occupé par des bâtiments industriels, commerciaux ou résidentiels ou des infrastructures de surface fixes.
≥ 75% = 1 crédit, ≥ 95% = 2 crédits</t>
  </si>
  <si>
    <t>2. Un expert en sols pollués réalise une étude de site, une évaluation des risques et une analyse, conformément à la norme ISO 18400 ou à une norme équivalente. Cette étude conclut que le terrain situé dans l'emprise du projet est affecté par une contamination. Le rapport identifie :
2.a Le degré de contamination
2.b Les sources ou types de contaminants
2.c Les options de remédiation des sources de contamination présentant un risque inacceptable.
3. Le client ou l'entrepreneur principal confirme la mise en œuvre d'une stratégie de remédiation, conformément au rapport.</t>
  </si>
  <si>
    <t>Selon la cheklist BREEAM (lorsque les enjeux sont faibles) ou via le passage d'un écologue.</t>
  </si>
  <si>
    <t>4-9</t>
  </si>
  <si>
    <t>Raisonnement écologique à une échelle plus grande que le site.</t>
  </si>
  <si>
    <t xml:space="preserve">Méthode de base
1 Le site est évalué à l'aide de la liste de contrôle d'évaluation des risques écologiques BREEAM (Note d'orientation 34), confirmant que la voie de base peut être utilisée (voir M1).
Méthode complète
2 Un écologue qualifié (EQ) réalise une étude et une évaluation (voir M3.1) du site suffisamment tôt pour influencer les travaux préparatoires, l'aménagement et, le cas échéant, les décisions de planification stratégique (généralement lors de la phase de préparation et de définition du cahier des charges).
3 L'étude et l'évaluation de l'EQ déterminent l'état écologique de référence du site, notamment :
3.a La valeur et l'état écologiques actuels et potentiels du site et des zones connexes dans la zone d'influence.
3.b Les risques directs et indirects du projet pour la valeur écologique actuelle.
3.c La capacité et la faisabilité d'améliorer la valeur écologique du site et, le cas échéant, des zones dans la zone d'influence.
3.d Sites situés dans ou à proximité de zones sensibles pour la biodiversité (voir M5.2). </t>
  </si>
  <si>
    <t>Méthode de base
4 Atteindre le critère 1.
5 Les membres concernés de l'équipe de projet se concertent et collaborent, et le cas échéant avec les parties prenantes représentatives (voir M2.1), suffisamment tôt pour influencer les décisions clés en matière de planification (généralement au stade de la conception préliminaire), afin de :
5.a Identifier les résultats écologiques optimaux pour le site.
5.b Sélectionner les mesures permettant d'atteindre les résultats écologiques optimaux pour le site (critère 5.a), conformément à la hiérarchie des mesures d'atténuation de la voie de fondation :
5.b.i Évitement
5.b.ii Protection
Méthode complète
6 Atteindre les critères 2 et 3.
7 L'écologue collabore avec les membres concernés de l'équipe de projet (p. ex., architecte paysagiste, architecte, etc.), en partageant les informations et recommandations pertinentes issues de l'étude et de l'évaluation afin d'influencer la conception du projet ainsi que les décisions relatives à la préparation du site et aux travaux de construction (voir M3.2). 8. L’écologue, avec le plein appui de l’équipe de projet, collabore avec les parties prenantes représentatives (voir M3.2) suffisamment tôt pour influencer les décisions clés en matière de planification (généralement au stade de la conception préliminaire).
9. L’écologue identifie les résultats écologiques optimaux pour le site et les mesures permettant de les atteindre conformément à :
9.a Les collaborations entreprises dans le cadre des critères 7 et 8.
9.b La hiérarchie des mesures d’atténuation pour le tracé global :
9.b.i Évitement
9.b.ii Protection
9.b.iii Réduction ou limitation des impacts négatifs
9.b.iv Compensation sur site
9.b.v Amélioration, en tenant compte des capacités et de la faisabilité sur le site, ou, lorsque cela n’est pas possible, hors site.</t>
  </si>
  <si>
    <t>10. Atteindre les critères 4 à 5 (méthode de base) ou 6 à 9 (méthode complète).
11. Pour déterminer le résultat écologique optimal du site, tenez compte des activités de développement durable menées à l'échelle du site et du potentiel de bénéfices liés aux services écosystémiques. Pour une liste des surfaces minimales à prendre en compte, voir M4.
12. Intégrer au moins une mesure dans la conception qui démontrerait un bénéfice lié aux services écosystémiques.</t>
  </si>
  <si>
    <t>Mise en place et suivi des mesures écologiques pour limiter l'impact sur le site.</t>
  </si>
  <si>
    <t>1. Réaliser les critères 2 et 3 dans Lue 03.</t>
  </si>
  <si>
    <t>Méthode de base
2. Des mesures écologiques pertinentes au niveau local ont été mises en œuvre afin d'améliorer la valeur écologique du site (voir M2.1). Ces mesures sont fondées sur :
2.a Les recommandations d'experts écologiques locaux reconnus, ainsi que sur les contributions et les conseils de spécialistes.
2.b Les contributions de l'équipe de projet, en collaboration avec des représentants des parties prenantes, et les données recueillies dans le cadre de l'étape « Détermination des résultats écologiques » (Lue 02).
Méthode complète
3. Des mesures ont été mises en œuvre afin d'améliorer la valeur écologique du site. Elles sont fondées sur les contributions de l'équipe de projet et de SQE, en collaboration avec des représentants des parties prenantes, et sur les données recueillies dans le cadre de l'étape « Détermination des résultats écologiques » (Lue 02). Ces mesures sont mises en œuvre dans l'ordre suivant :
3.a Sur le site, et lorsque cela n'est pas possible,
3.b En dehors des limites du site, dans la zone d'influence.
4. Les données recueillies sont analysées et, lorsqu'elles sont potentiellement utiles, transmises aux centres locaux de données environnementales les plus proches du site, ou pertinents pour celui-ci.</t>
  </si>
  <si>
    <t xml:space="preserve">Valoriation écologique (anciennement "Rapport et recommandations de l'écologue")
</t>
  </si>
  <si>
    <t>Quantifier le changement de valeur écologique</t>
  </si>
  <si>
    <t>5. Jusqu'à trois crédits sont attribués en fonction du pourcentage de gain net de biodiversité obtenu grâce au projet, selon l'échelle du tableau 90. De plus, pour obtenir des crédits, il ne doit y avoir aucun impact résiduel sur les sites protégés ou les habitats irremplaçables. Ce gain doit être calculé à l'aide de l'un des indicateurs suivants :
5.a. Indicateur de biodiversité spécifique au pays (voir CN1) et, à défaut,
5.b. Indicateur mondial de biodiversité (Ramboll).
Amélioration de la valeur écologique du site supérieure à 20% (1 point supplémentaire)</t>
  </si>
  <si>
    <t>1. Obtenez au moins un crédit dans Lue 04.</t>
  </si>
  <si>
    <t>2. Une section sur l'écologie et la biodiversité a été intégrée aux informations fournies au locataire ou au propriétaire du bâtiment. Ces informations doivent figurer dans un document distinct du plan de gestion du paysage et de l'écologie (qui est couvert par le
critère 3) et :
2.a Informer le propriétaire ou le locataire du bâtiment des caractéristiques écologiques locales et de la biodiversité associées au site (voir M1), y compris un calcul de l'indicateur de biodiversité « tel que construit » (le cas échéant).
2.b Inclure des plans de gestion et d'entretien détaillés ainsi que les informations pertinentes relatives à la passation de pouvoir de plantation afin de minimiser les pertes de végétaux pendant la phase d'implantation (voir M1).</t>
  </si>
  <si>
    <t>3. Un plan de gestion du paysage et de l'écologie, ou son équivalent, a été élaboré par un écologue. Ce plan comprendra des plans détaillés pour une période initiale de 5 ans consacrée à la mise en place et à l'entretien du dispositif, ainsi qu'une stratégie de gestion supplémentaire sur 25 ans. Le plan dans son ensemble couvrira une période totale de 30 ans. Il comprend :
3.a Actions et responsabilités des personnes concernées avant la remise du site.
3.b Valeur écologique et état du site lors de la remise du site, et leur évolution prévue.
3.c Procédures de suivi et d'évaluation de la mise en œuvre et de l'efficacité des mesures, intégrant une approche de gestion adaptative.
3.d Registre des risques, incluant les critères de déclenchement d'intervention et les mesures correctives, en tenant compte de leur contribution aux exigences de suivi (voir M2.4).
3.e Plans d'entretien et de gestion des habitats conservés, améliorés et créés, ainsi que des aménagements destinés aux espèces protégées. Cela devrait inclure un calendrier de travail détaillé décrivant la maintenance pertinente sur une base mensuelle pour les cinq premières années suivant la mise en service.
3.f Identifier les opportunités d'alignement continu avec les activités externes à l'actif.
3.g Définir clairement les responsabilités et les compétences des personnes chargées de la mise en œuvre du plan.</t>
  </si>
  <si>
    <t>Plan de gestion du paysage et de l'écologie</t>
  </si>
  <si>
    <t>1. Lorsque le bâtiment ne nécessite pas l’utilisation de fluides frigorigènes dans ses installations ou systèmes.</t>
  </si>
  <si>
    <t>Un crédit
4 Les systèmes utilisant des fluides frigorigènes (voir M3) doivent avoir un taux d'émission moyen de dioxyde de carbone équivalent (CO₂e) sur l'ensemble du cycle de vie à effet direct (DELC) inférieur à 1 000 kg CO₂e par kW de puissance frigorifique ou calorifique.
Deux crédits
5 Les systèmes utilisant des fluides frigorigènes (voir M3) doivent soit :
5.a Avoir un taux d'émission moyen de dioxyde de carbone équivalent (CO₂e) sur l'ensemble du cycle de vie à effet direct (DELC) inférieur à 100 kg CO₂e par kW de puissance frigorifique ou calorifique.
OU
5.b Utiliser un fluide frigorigène dont le potentiel de réchauffement global (PRG) est inférieur à 10 kg CO₂e/kg</t>
  </si>
  <si>
    <t>2. Tous les systèmes équipés de compresseurs électriques doivent être conformes aux normes de sécurité applicables à l'installation des systèmes frigorifiques (voir M2.1).
3. Les fluides frigorigènes utilisés doivent avoir un potentiel d'appauvrissement de la couche d'ozone nul (voir M2.2).</t>
  </si>
  <si>
    <t>6. Les systèmes utilisant des fluides frigorigènes sont soit :
6.a. Hermétiquement scellés.
OU
6.b. Le volume de charge de fluide frigorigène est inférieur à 500 tonnes d'équivalent dioxyde de carbone (CO₂e).
OU
6.c. Utilisent des fluides frigorigènes respectueux de l'environnement (voir M4.1).
OU
7. Il doit y avoir soit :
7.a. Un système automatisé permanent de détection des fuites de fluide frigorigène, capable de surveiller en continu les fuites.
OU
7.b. Une procédure de diagnostic automatisée intégrée pour la détection des fuites, capable de surveiller en continu les fuites.
8. Le système de détection des fuites facilite l'isolement et le confinement de la charge de fluide frigorigène restante suite à un incident de détection de fuite.</t>
  </si>
  <si>
    <t>Centrale à combustion à émissions nulles ou faibles (émission de Nox)</t>
  </si>
  <si>
    <t>Trois crédits – Installation sans combustion
1. Les systèmes sans combustion assurent l'intégralité du chauffage et de la production d'eau chaude sanitaire sur site.
Jusqu'à deux crédits – Installation à combustion à faibles émissions
2. Les émissions de toutes les installations de combustion assurant le chauffage ou la production d'eau chaude sanitaire ne dépassent pas les seuils fixés dans le tableau 95 :
≤ 56 mg/kWh pour 1 crédit (27 en zone dense)
≤ 27 mg/kWh pour 2 crédits (24 en zone dense)</t>
  </si>
  <si>
    <t>1. Un consultant approprié est désigné pour réaliser et démontrer la conformité du projet à tous les critères.</t>
  </si>
  <si>
    <t>19. Aucun rejet n'est prévu sur le site aménagé pour des précipitations inférieures à 5 mm (confirmé par le consultant compétent).
20. Dans les zones présentant un faible risque de pollution des cours d'eau, un traitement préventif de la pollution approprié est mis en œuvre, à l'aide de techniques de drainage durable appropriées.
21. En cas de risque élevé de contamination ou de déversement de substances telles que l'essence et les huiles, des séparateurs (ou un système équivalent) sont installés dans les réseaux de drainage des eaux pluviales.
22. Si le bâtiment comporte des zones de stockage de produits chimiques ou de gaz liquéfiés, un dispositif de confinement est installé sur le système de drainage du site (par exemple, des vannes d'arrêt) afin d'empêcher le déversement de produits chimiques dans les cours d'eau naturels (en cas de déversement ou de rupture de la digue).
23. Un plan de drainage complet et à jour du site sera mis à la disposition des occupants du bâtiment ou du site.
24. Des accords de maintenance pertinents concernant la propriété, l'exploitation à long terme et l'entretien de tous les systèmes de drainage durable spécifiés doivent être en place.</t>
  </si>
  <si>
    <t>19-24</t>
  </si>
  <si>
    <t>Deux crédits – Risque d'inondation faible
2 Une évaluation des risques d'inondation (ERI) spécifique au site confirme que le projet est situé dans une zone inondable définie comme présentant une faible probabilité annuelle d'inondation (conformément aux recommandations nationales actuelles en matière de planification). L'ERI doit prendre en compte toutes les sources d'inondation actuelles et futures (voir M5).
Un crédit – Risque d'inondation moyen ou élevé
3 Une ERI spécifique au site, réalisée par un consultant compétent, confirme que le projet est situé dans une zone inondable définie comme présentant une probabilité annuelle d'inondation moyenne ou élevée et qu'il ne se trouve pas dans une plaine inondable fonctionnelle (conformément aux recommandations nationales actuelles en matière de planification). L'ERI doit prendre en compte toutes les sources d'inondation actuelles et futures (voir M5). 
4. Afin d'accroître la résilience et la résistance de l'ouvrage aux inondations, l'une des conditions suivantes doit être remplie :
4.a Le niveau du sol du bâtiment et les accès au bâtiment et au site sont conçus (ou zonés) de manière à se situer au moins 600 mm au-dessus du niveau de crue de projet de la zone inondable où se situe l'ouvrage évalué (voir M6)
OU
4.b La conception finale du bâtiment et du site dans son ensemble tient compte des recommandations d'un consultant compétent</t>
  </si>
  <si>
    <t>5-18</t>
  </si>
  <si>
    <t>Prérequis pour l'obtention de crédits relatifs au ruissellement des eaux de surface
5 Les solutions de conception pour le ruissellement des eaux de surface doivent être adaptées aux spécificités du site, c'est-à-dire qu'elles doivent tenir compte des exigences particulières du site et de l'environnement naturel ou anthropique du site et de ses alentours. Les niveaux de priorité détaillés dans la section M7 doivent être respectés, avec une justification fournie par le consultant compétent lorsque l'eau est autorisée à quitter le site.
Un crédit – Ruissellement des eaux de surface – Taux
6 Pour les friches industrielles, les mesures de drainage sont spécifiées de manière à ce que le débit de pointe de ruissellement du site vers les cours d'eau (naturels ou municipaux) présente une amélioration de 30 % pour le site aménagé par rapport au site avant aménagement. Cette condition doit être respectée pour les périodes de retour de 1 an et de 100 ans.
7 Pour les terrains vierges, les mesures de drainage sont spécifiées de manière à ce que le débit de pointe de ruissellement du site vers les cours d'eau (naturels ou municipaux) ne soit pas supérieur pour le site aménagé à ce qu'il était pour le site avant aménagement. Cette condition doit être respectée pour les périodes de retour de 1 an et de 100 ans. 8. Des accords de maintenance pertinents concernant la propriété, l'exploitation à long terme et l'entretien de tous les systèmes de drainage durable (SuDS) spécifiés sont en place.
9. Les calculs tiennent compte du changement climatique. Cette prise en compte doit être effectuée conformément aux meilleures pratiques actuelles en matière de planification.
Un crédit – Ruissellement des eaux de surface – Volume
10. Les bâtiments évalués ne seront pas inondés en cas de défaillance du système de drainage local (causée soit par des pluies extrêmes, soit par un manque d'entretien) ; ET
11. Spécifiez les mesures de conception du drainage qui garantissent que le volume de ruissellement des eaux de surface après aménagement ne dépasse pas le volume de ruissellement avant aménagement. Démontrez ce point par des calculs pour un événement centennal de 6 heures, ajustés pour le changement climatique, en situant l'événement à la fin de la durée de vie prévue de l'aménagement (voir le critère 16 à la page suivante).
12. Tout volume supplémentaire de ruissellement prévu pour cet événement est empêché de quitter le site par infiltration ou d'autres techniques de drainage durable. OU (uniquement lorsque les critères 11 et 12 ci-dessus relatifs à ce crédit ne peuvent être remplis) :
13 Justification du consultant compétent indiquant pourquoi les critères ci-dessus ne peuvent être remplis, c’est-à-dire lorsque l’infiltration ou d’autres techniques de drainage durable ne sont pas des options techniquement viables.
14 Des mesures de conception du drainage sont spécifiées afin de garantir que le débit de pointe de ruissellement après aménagement soit réduit au débit limite. Le débit limite est défini comme le débit le plus élevé parmi les options suivantes :
14.a Le débit de pointe annuel avant aménagement ; OU
14.b Le débit annuel moyen Qbar ; OU
14.c 2 L/s/ha.
Pour le débit de pointe annuel, le critère de période de retour d’un an s’applique (comme décrit dans les critères de débit de pointe ci-dessus).
15. Des accords de maintenance pertinents concernant la propriété, l'exploitation à long terme et l'entretien de tous les systèmes de drainage durable spécifiés sont en place.
16. Quelle que soit l'option choisie, les calculs ci-dessus doivent tenir compte du changement climatique ; cette prise en compte doit être effectuée conformément aux recommandations actuelles en matière de planification.
Deux crédits – Ruissellement des eaux de surface – Maisons individuelles uniquement
17. L'un des critères suivants est rempli :
17.a. La surface imperméable a diminué d'au moins 50 % par rapport aux surfaces imperméables préexistantes ; OU
17.b. Toutes les eaux de ruissellement provenant du toit, pour des hauteurs de pluie allant jusqu'à 5 mm, provenant de toutes les parties nouvelles et existantes du bâtiment, ont été gérées sur place à l'aide de méthodes de contrôle à la source. OU
Un crédit – Ruissellement des eaux de surface – Maisons individuelles uniquement
18 L'un des critères suivants doit être rempli :
18.a La nouvelle construction n'entraîne aucune augmentation des surfaces imperméables ; OU
18.b Si la nouvelle construction entraîne une augmentation des surfaces imperméables, les conditions suivantes doivent être remplies :
18.b.i Aires imperméabilisées – lorsqu'il y a extension ou augmentation des aires imperméabilisées et donc augmentation de la surface imperméable totale suite à la nouvelle construction, l'aire imperméabilisée doit être perméable ou être équipée de systèmes de drainage durable sur site permettant l'infiltration complète du volume supplémentaire, afin d'obtenir le même résultat. Les aires imperméabilisées perméables doivent inclure tous les trottoirs et voies publiques, les parkings, les allées carrossables et les voies privées, mais peuvent exclure les petits chemins de jardin qui s'écouleront sur une surface naturellement perméable.
18.b.ii Bâtiment (nouvelle construction ou extension) – lorsqu'il y a augmentation de l'emprise au sol d'un bâtiment, s'étendant sur des surfaces précédemment
perméables, le ruissellement supplémentaire causé par la zone de la nouvelle construction ou de l'extension doit être géré
sur place à l'aide d'une technique de système de drainage durable appropriée pour des hauteurs de pluie allant jusqu'à 5 mm.</t>
  </si>
  <si>
    <t>1. La pollution lumineuse a été éliminée grâce à une conception efficace qui supprime le besoin d'éclairage artificiel la nuit. Ceci n'affecte pas la sécurité du site et de ses usagers. 
OU, si le bâtiment utilise un éclairage artificiel la nuit, un crédit peut être accordé comme suit :
2. La stratégie d'éclairage a été conçue pour réduire la lumière gênante. Ceci inclut l'éclairage extérieur et l'éclairage intérieur dans les espaces comportant des ouvertures vitrées.
3. Un couvre-feu est établi pour tout éclairage extérieur (à l'exception de l'éclairage de sécurité), qui s'éteint automatiquement entre 23h00 et 7h00.
4. Les panneaux publicitaires lumineux sont conçus pour contrôler la luminosité et minimiser les nuisances visuelles pendant la nuit.
5. L'éclairage est conçu pour minimiser son impact sur la faune nocturne.</t>
  </si>
  <si>
    <t>L’éclairage extérieur (à l’exception des éclairages de sûreté et sécurité) peut être automatiquement éteint entre 23 h et 7 h.
Les publicités éclairées, le cas échéant doivent avoir une luminance maximum de 1000 cd/m² (en zone urbaine)
Dans le cas où un éclairage pour la sûreté ou la sécurité doit être utilisé entre 23 h et 7 h :
Les éclairages de sûreté et de sécurité sont conformes aux niveaux d’éclairage inférieurs recommandés pendant cette période dans le CIE 150-2003 et CIE 126-1997, par exemple en utilisant un interrupteur automatique pour réduire les niveaux d’éclairage à 23 h ou plus tôt.</t>
  </si>
  <si>
    <t>5. Jusqu'à trois crédits sont attribués en fonction du pourcentage de gain net de biodiversité obtenu grâce au projet, selon l'échelle du tableau 90. De plus, pour obtenir des crédits, il ne doit y avoir aucun impact résiduel sur les sites protégés ou les habitats irremplaçables. Ce gain doit être calculé à l'aide de l'un des indicateurs suivants :
5.a. Indicateur de biodiversité spécifique au pays (voir CN1) et, à défaut,
5.b. Indicateur mondial de biodiversité (Ramboll).
En remplacement du critère 5 (non cumulatif)
6. Pour les sites urbains, lorsqu'un écologue confirme que le gain net de biodiversité n'est pas approprié au projet, le facteur de végétalisation urbaine peut être utilisé comme alternative. Un crédit peut être accordé en fonction des objectifs définis dans le tableau 91.
7. Outre le respect des objectifs, l'écologue doit également confirmer que la végétation spécifiée pour atteindre ces objectifs apporte des bénéfices écologiques. Ces bénéfices peuvent être les mêmes que ceux décrits dans le critère 3 et doivent être fondés sur les contributions de l'équipe de projet et de SQE, en collaboration avec des parties prenantes représentatives et sur les données recueillies dans le cadre de la section « Détermination des résultats écologiques » (Lue 02).
8. Lorsque le niveau de référence du site atteint déjà l'objectif ou qu'un facteur de végétalisation urbaine a été défini par une autorité locale, les projets doivent augmenter leur score de 0,1.
Amélioration de la valeur écologique du site supérieure à 0% (1point), à 5% (2 points), à 10% (3 points)</t>
  </si>
  <si>
    <t>Quantifier le changement de valeur écologique - Facteur de verdissement urbain</t>
  </si>
  <si>
    <t>Wst 02</t>
  </si>
  <si>
    <t>Wst 03</t>
  </si>
  <si>
    <t>Wst 04</t>
  </si>
  <si>
    <t>Wst 05</t>
  </si>
  <si>
    <t>Hea 07X</t>
  </si>
  <si>
    <t>Wst 01X</t>
  </si>
  <si>
    <t>Wst 02X</t>
  </si>
  <si>
    <t>Wst 05X</t>
  </si>
  <si>
    <t>Wst 03a</t>
  </si>
  <si>
    <t>Wst 03b</t>
  </si>
  <si>
    <t>Zéro net carbone</t>
  </si>
  <si>
    <t>A être mentionné sur tous les CCTP : provenance légal du bois (bois d'œuvre également, produits temporaire de chantier)</t>
  </si>
  <si>
    <t>Chantier</t>
  </si>
  <si>
    <t>Prérequis - Suivi des impacts chantier</t>
  </si>
  <si>
    <t>Suivre les entrées de livraison</t>
  </si>
  <si>
    <t>A faire en APD PRO</t>
  </si>
  <si>
    <t>Faire intervenir un spécialiste du commissionnement</t>
  </si>
  <si>
    <t>Pass, Good, Very Good</t>
  </si>
  <si>
    <t>Excellent (1 crédit), Outstanding (2 crédits)</t>
  </si>
  <si>
    <t>Very Good, Excellent, Outstanding</t>
  </si>
  <si>
    <t>Very Good
(critère 7)</t>
  </si>
  <si>
    <t>Pass
(critère 1)</t>
  </si>
  <si>
    <t>Excellent (4 crédits)
Outstanding (6 crédits)</t>
  </si>
  <si>
    <t>Excellent (3 crédits)
Outstanding (5 crédits)</t>
  </si>
  <si>
    <t>Good (1 crédits)
Outstanding (2 crédits)</t>
  </si>
  <si>
    <t>Excellent (APS ou APD-PRO ou fin de chantier), Outstanding</t>
  </si>
  <si>
    <t>Outstanding (OU 4-6)</t>
  </si>
  <si>
    <t>Outstanding (OU 1-3)
(1 crédit)</t>
  </si>
  <si>
    <t>1. Prévoir un espace dédié, clairement identifié par une signalétique, pour le tri et le stockage des déchets recyclables opérationnels générés par le bâtiment ou l'unité évalué(e), ses occupants et leurs activités (voir M1, M2 et M3). Cet espace doit :
1.a. Être clairement étiqueté pour une utilisation durable, afin de faciliter le tri, le stockage et la collecte des flux de déchets recyclables.
1.b. Être accessible aux occupants du bâtiment ou aux exploitants des installations pour le dépôt des matériaux et la collecte par les entreprises de gestion des déchets.
1.c. Avoir une capacité adaptée au type de bâtiment, à sa taille, au nombre d'unités (le cas échéant) et aux volumes de déchets prévus qui résulteront des activités opérationnelles quotidiennes ou hebdomadaires et des taux d'occupation.
2. Lorsqu'une production régulière et importante des flux de déchets opérationnels appropriés est probable, par exemple de grandes quantités d'emballages ou de déchets compostables générés par l'utilisation et l'exploitation du bâtiment, les installations suivantes sont prévues :
2.a. Compacteurs ou presses à balles statiques ; situés dans une zone de service ou un espace dédié à la gestion des déchets. 
2.b Récipients pour le compostage des déchets organiques appropriés provenant de l'exploitation et de l'utilisation quotidiennes du bâtiment ; OU espace suffisant pour le stockage des déchets alimentaires triés et des matières organiques compostables avant leur collecte et leur livraison à une installation de compostage alternative.
2.c Lorsque les déchets organiques doivent être stockés ou compostés sur place, un robinet est prévu à proximité ou à l'intérieur de l'installation à des fins de nettoyage et d'hygiène.
De plus, pour les établissements résidentiels (séjour de longue durée) avec logements indépendants uniquement :
3 Chaque logement dispose de trois conteneurs de stockage intérieurs, comme suit :
3.a Capacité totale minimale de 30 litres
3.b Aucun conteneur individuel de moins de 7 litres
3.c Tous les conteneurs sont placés dans un emplacement dédié et non encombrant
3.d Les conteneurs de stockage pour le recyclage sont fournis en plus du stockage des déchets non recyclables.
4 Des installations de compostage domestique et une brochure d'information sur le compostage domestique sont fournies dans la cuisine ou l'espace commun de chaque logement indépendant ou studio. 
De plus, pour les établissements résidentiels (séjour de longue durée) avec chambres individuelles et espaces communs uniquement :
5 Les exigences de stockage mentionnées ci-dessus (critère 3 ci-dessus) pour les logements indépendants ou les studios sont respectées pour six chambres.
6 Le local de stockage des déchets recyclables est situé dans un emplacement dédié et non encombrant :
6.a Dans les cuisines communes OU
6.b En l’absence de cuisines communes, dans un espace commun tel qu’un salon ou une buanderie.
7. Des installations de compostage domestique et une brochure d'information sur le compostage domestique sont fournies dans la cuisine ou l'espace commun de chaque chambre individuelle, studio ou cuisine commune.</t>
  </si>
  <si>
    <t>3-6</t>
  </si>
  <si>
    <t>Déchets d'exploitation - Recyclage (résidentiel)</t>
  </si>
  <si>
    <t>Déchets d'exploitation - Compostage (résidentiel)</t>
  </si>
  <si>
    <t>3 Mise en place d'installations extérieures adéquates pour le stockage ou le compostage des déchets ménagers compostables (voir M3). Les installations doivent être :
3.a Situées dans un emplacement dédié et accessibles aux occupants du logement
3.b Accompagnées d’une brochure d’information, distribuée dans chaque logement ou cuisine commune. Cette brochure doit fournir des informations sur :
3.b.i Le fonctionnement du compostage et son importance
3.b.ii Les matériaux compostables (par exemple, épluchures de légumes et de fruits crus, papier déchiqueté, sachets de thé, etc.)
3.b.iii Les détails du plan de fonctionnement et de gestion de tout système de compostage collectif
3.b.iv Lorsque des installations de compostage extérieures adéquates sont disponibles, des informations de dépannage, par exemple, que faire si le compost devient trop sec ou trop humide.
4 Un espace de stockage intérieur suffisant (pouvant contenir au moins un récipient de 7 litres) pour les déchets compostables triés (c’est-à-dire les déchets alimentaires) est prévu dans chaque cuisine de logement ou cuisine commune. Il peut s’agir de l’un des trois bacs de stockage intérieurs mentionnés au critère 2.a de la page précédente.
5. Lorsque les installations extérieures adéquates ne sont pas équipées d'un conteneur à compost, la conformité peut être démontrée si l'une des conditions suivantes s'applique à tous les logements faisant l'objet de l'évaluation :
5.a. Un service de compostage communautaire ou local accessible, géré par une collectivité locale ou un organisme privé
5.b. Un plan de gestion mis en place pour garantir que les déchets alimentaires ou verts sont correctement collectés et acheminés vers une installation de compostage alternative
5.c. Un système de collecte des déchets verts ou de cuisine mis en place par une collectivité locale ou un organisme privé.
6. Pour les installations collectives, au moins un point d'eau est prévu pour le nettoyage à l'intérieur et autour de l'installation.</t>
  </si>
  <si>
    <t>1 Un espace extérieur adéquat a été prévu pour le stockage des déchets ménagers recyclables et non recyclables ou non compostables (voir M1 et M2). Cet espace doit :
1.a Au moins correspondre au minimum recommandé par la collectivité locale compétente OU
1.b En l’absence de recommandations de la collectivité locale, avoir un volume de 100 litres pour un logement d’une chambre et 70 litres supplémentaires par chambre supplémentaire
1.c Situé sur une surface plane et stabilisée
1.d Accessible aux occupants de la maison ou de l’immeuble.
2 Un espace intérieur adéquat (y compris les poubelles) a été prévu pour le stockage des déchets ménagers recyclables, comme suit :
2.a Lorsqu’il existe un système de collecte des déchets recyclables dans la zone et que les résidents peuvent l’utiliser, l'une des options suivantes a été prévue pour le stockage des déchets ménagers recyclables :
2.a.i Au minimum trois poubelles intérieures individuelles d’une capacité minimale de 7 litres chacune
OU
2.a.ii Un seul bac d'une capacité minimale de 35 litres (autorisé uniquement lorsque la collecte locale regroupe plusieurs types de déchets dans un seul conteneur).
2.b En l'absence de système de collecte des déchets recyclables, au moins cinq bacs (d'une capacité minimale de 15 litres chacun) doivent être prévus pour le stockage des déchets ménagers recyclables.
2.c Les bacs de recyclage intérieurs doivent être placés dans un emplacement dédié et non encombrant. Les bacs de recyclage autonomes, placés directement au sol ou dans un placard, ne sont pas conformes. Ils peuvent se trouver dans la cuisine (à proximité du bac à déchets non recyclables) ou à proximité immédiate de la cuisine (à moins de 10 m), par exemple dans une buanderie ou un garage attenant.</t>
  </si>
  <si>
    <t>4. Le client ou l'occupant du bâtiment s'engage à réaliser une évaluation post-occupation (EPO) un an après l'occupation substantielle du bâtiment. Cette évaluation permet de recueillir un retour d'information complet sur les performances en situation réelle (voir critère 5.b.v) et d'identifier les écarts entre les intentions de conception et les performances réelles. L'objectif est de mettre en évidence les améliorations ou interventions nécessaires et d'éclairer les processus opérationnels.
5. L'EPO est réalisée par un organisme indépendant et porte sur :
5.a. Un examen des intentions de conception et du processus de construction (examen des processus de conception, d'approvisionnement, de construction et de réception).
5.b. Un retour d'information d'un large éventail d'utilisateurs du bâtiment, y compris les gestionnaires d'installations, sur la conception et les conditions environnementales du bâtiment :
5.b.i Conditions environnementales intérieures (lumière, bruit, température, qualité de l'air).
5.b.ii Contrôle, exploitation et maintenance.
5.b.iii Installations et commodités.
5.b.iv Accès et agencement.
5.b.v Consommation d'énergie et d'eau (voir critère 2 et M1).
5.b.vi Autres points pertinents, le cas échéant.
6. L'organisme indépendant remet au client et aux occupants du bâtiment un rapport d'analyse des enseignements tirés.
7. Le client ou l'occupant du bâtiment s'engage à financer l'évaluation post-interventionnelle (EPI) à l'avance. Ceci implique la désignation d'un organisme indépendant pour réaliser l'EPI conformément au critère 5.</t>
  </si>
  <si>
    <t>1. Atteindre l'une des options suivantes :
1a : Au moins 95 % des zones concernées doivent avoir des fenêtres (verticales ou inclinées) représentant au moins 20 % de la surface de la paroi environnante.
1b : Au moins 80 % des zones concernées doivent avoir une surface vitrée équivalente à au moins 7 % de la surface au sol.</t>
  </si>
  <si>
    <t>Coût d'une telle étude ?</t>
  </si>
  <si>
    <t>Pas de points sur l'éclairage naturel</t>
  </si>
  <si>
    <t>10. Obtenir le crédit pour « Contrôle de l’éblouissement » (critères 2 à 4)
11. Une évaluation a été réalisée pour démontrer la conformité à l'une des exigences suivantes et à la méthode M6 :
DGP (Probabilité d'Éblouissement) : Ne doit pas dépasser 0,40 pendant plus de 5 % des heures d'exploitation annuelles à tous les postes de travail.
ASE (Exposition Solaire Annuelle) : Pas plus de 10 % de l'espace occupé ne doit recevoir un éclairement de 1 000 lux ou plus pendant plus de 250 heures par an.</t>
  </si>
  <si>
    <t>5. L'éclairage intérieur est zoné afin de permettre aux occupants de le contrôler conformément aux critères ci-dessous pour les zones concernées présentes dans le bâtiment, le cas échéant :
5.a Les postes de travail adjacents aux fenêtres ou aux atriums et les autres zones du bâtiment sont zonés et contrôlés séparément.
5.b Dans les bureaux où la disposition du mobilier est connue : zones de quatre postes de travail maximum.
5.c Salles de séminaire et de conférence : zonées pour les zones de présentation et le public.
5.d Espaces de bibliothèque : zonage séparé pour les rayonnages, les zones de lecture et les comptoirs.
5.e Espace d'enseignement ou de démonstration.
5.f Tableau blanc ou écran d'affichage.
5.g Auditoriums : zonage pour les zones de sièges, les zones de circulation et la zone du pupitre. 
5.h Espaces restauration, restaurant, café : séparation des zones de service et des espaces de restauration
5.i Commerce de détail : séparation des zones d’exposition et des comptoirs
5.j Espaces bar : séparation des zones bar et des espaces de restauration
5.k Salles de jour, salles d’attente : séparation des zones de détente et d’activités, et des espaces de circulation avec commandes accessibles au personnel
5.l Chambres d’hôtel : séparation du couloir, de la salle de bain, du bureau et de l’espace nuit (le cas échéant). 
6. Les zones utilisées pour l'enseignement, les séminaires ou les conférences sont dotées de commandes d'éclairage spécifiques, adaptées à la taille et à l'usage de l'espace. Cependant, un auditorium ou un amphithéâtre classique, avec des gradins et un pupitre/une zone de démonstration/de spectacle, est généralement équipé des commandes d'éclairage suivantes :
6.a Éclairage normal complet (pour permettre les entrées et sorties, le nettoyage, etc.)
6.b Éclairage de la zone de démonstration éteint et éclairage de la zone du public réduit (pour la projection de diapositives, tout en laissant suffisamment de lumière pour que le public puisse prendre des notes)
6.c Éclairage entièrement éteint (pour la projection de diapositives monochromes ou couleur, et pour les démonstrations visuelles ou les spectacles)
6.d Éclairage localisé séparé pour le pupitre.
7. Lorsque des commandes d'éclairage automatiques sont utilisées pour des raisons d'efficacité énergétique, une commande manuelle doit être prévue.
8. De plus, les critères relatifs au type de bâtiment figurant dans le tableau 15 ci-dessous (le cas échéant)</t>
  </si>
  <si>
    <t>Plan QAI à vérifier</t>
  </si>
  <si>
    <t>Pour un crédit :
8. Trois des cinq types de produits satisfont aux limites d'émission, aux exigences d'essai et à toutes les exigences supplémentaires énumérées dans le tableau 17 et le document M2. Lorsque les produits à base de bois ne font pas partie des trois types de produits sélectionnés, tous les produits à base de bois utilisés pour les aménagements et accessoires intérieurs doivent être testés et classés au minimum comme étant de classe E1 pour le formaldéhyde (voir CN2.2).
Pour deux crédits :
9. Tous les types de produits satisfont aux limites d'émission, aux exigences d'essai et à toutes les exigences supplémentaires énumérées dans le tableau 17 et le document M2.</t>
  </si>
  <si>
    <t>STD ok, confirmer le périmètre avec Adrien</t>
  </si>
  <si>
    <t>STD ok, confirmer le périmètre avec Adrien + PMV, PPD</t>
  </si>
  <si>
    <t>Pré-requis uniquement pour l'outstanding, pas de gaz sur site</t>
  </si>
  <si>
    <t>Valider la mise en place d'un système de gestion de l'énergie compatible BACS</t>
  </si>
  <si>
    <t>Calcul à faire</t>
  </si>
  <si>
    <t>Coupure eau à vérifier</t>
  </si>
  <si>
    <t>1. Identifier les systèmes et équipements qui consomment des quantités importantes d'eau à des fins non sanitaires et qui sont inclus dans le cahier des charges du projet (voir M1).
2. Déterminer le ratio entre la consommation d'eau à des fins non sanitaires et la consommation d'eau sanitaire afin de déterminer le nombre de crédits disponibles (voir tableau 65).
3. Démontrer que les systèmes et équipements installés utilisant de l'eau à des fins non sanitaires sont économes en eau (voir M2).
4. Déterminer le nombre de crédits accordés en fonction du pourcentage des besoins en eau à des fins non sanitaires couverts par des équipements économes en eau (voir tableau 66).</t>
  </si>
  <si>
    <t>Vérifier la présence de gros consommateurs d'eau</t>
  </si>
  <si>
    <t>2. Obtenir le crédit pour la prévision de la consommation d'eau opérationnelle.
3. Obtenir le maximum de crédits disponibles pour le suivi de la consommation d'eau (Wat 02).
4. Un objectif de performance sur la consommation d'eau a été communiqué aux parties prenantes et rendu public avant la réception des travaux.
5. Le client ou l'occupant du bâtiment s'engage à financer la mesure et le reporting de la consommation d'eau en service une fois le bâtiment occupé. Cela nécessite la désignation d'une personne ou d'un organisme qualifié pour mesurer et rendre compte de la consommation opérationnelle réelle.</t>
  </si>
  <si>
    <t>7 Pour les types d'évaluation et de bâtiments concernés, comparez les émissions de carbone intrinsèque calculées (modules A1-A5, B1-B5, C1-C4) à la valeur de référence (voir tableau 68). La comparaison avec la référence doit utiliser le calcul de carbone intrinsèque le plus récent disponible :
7.a Pour l'évaluation intermédiaire en phase de conception : 7.a.i Analyse du cycle de vie (ACV) de la conception technique
7.b Pour l'évaluation finale en phase post-construction : 7.b.i Analyse du cycle de vie (ACV) post-construction
Classe A, B, C = 2 crédits, classe D, E = 1 crédit</t>
  </si>
  <si>
    <t>8 Pour les types d'évaluation et de bâtiments concernés, comparez les émissions de carbone intrinsèque calculées (modules A1-A5, B1-B5, C1-C4) à la valeur de référence (voir tableau 68). La comparaison avec la référence doit utiliser le calcul de carbone intrinsèque le plus récent disponible :
7.a Pour l'évaluation intermédiaire en phase de conception : 7.a.i Analyse du cycle de vie (ACV) de la conception technique
7.b Pour l'évaluation finale en phase post-construction : 7.b.i Analyse du cycle de vie (ACV) post-construction
Classe A = 1 crédit exemplaire supplémentaire</t>
  </si>
  <si>
    <t>Les données de l'ACV sont reportées par phase de vie du projet (module A1-A5, B1-B5, C1-C4, et D quand disponible). Le niveau carbone du projet est inférieur au seuil du BRE (classe E pour 1 points ou B pour 2 points)</t>
  </si>
  <si>
    <t>Ok, pré-requis Man 03</t>
  </si>
  <si>
    <t>3 Sur la plateforme BREEAM, utilisez le calculateur Mat 03 et suivez les instructions M1 pour déterminer le nombre de crédits obtenus pour les produits de construction. Les crédits sont attribués proportionnellement à l'étendue de l'évaluation (voir M2) et au nombre de
points obtenus, comme indiqué dans le tableau 72.
10% = 1 crédit, 20% = 2 crédits, 30% = 3 crédits</t>
  </si>
  <si>
    <t>1. Réaliser une évaluation de la stratégie d'adaptation au changement climatique en utilisant :
1.a. Une évaluation systématique des risques afin d'identifier l'impact des conditions météorologiques extrêmes attendues, découlant des risques climatiques physiques et du changement climatique, sur le bâtiment et ses vulnérabilités tout au long de son cycle de vie projeté. L'évaluation couvre l'installation des équipements techniques et des systèmes d'énergies renouvelables, ainsi que les aspects de résilience structurelle et de l'enveloppe du bâtiment, et comprend (voir M1) :
1.a.i. Identification des aléas : 1.a.ii. Évaluation des aléas / 1.a.iii. Estimation des risques / 1.a.iv. Évaluation des risques / 1.a.v. Gestion des risques.
2. Élaborer des recommandations ou des solutions, fondées sur l'évaluation de la stratégie d'adaptation au changement climatique, avant ou pendant la conception préliminaire, visant à atténuer l'impact identifié.
3. Fournir une mise à jour lors de la conception technique démontrant comment les recommandations ou solutions proposées lors de la conception préliminaire ont été mises en œuvre lorsque cela était possible et rentable. Les omissions ont été justifiées par écrit par l'évaluateur.</t>
  </si>
  <si>
    <t>1 Que le projet utilise la méthode de base ou la méthode complète, les critères de Lue 02 pour « Étude et évaluation » et « Détermination des résultats écologiques » doivent avoir été respectés pour obtenir des crédits dans ce numéro.</t>
  </si>
  <si>
    <t>Méthode de base et méthode globale
2 Pour les deux méthodes, la transition entre les équipes de conception et de construction doit être suffisamment structurée et approfondie afin de garantir que toutes les mesures écologiques prévues soient communiquées, comprises et respectées tout au long de la construction.
2.a Pour le parcours global uniquement, un écologue aura été en poste tout au long des phases de planification et de conception. Si un nouvel écologue a été nommé pour les phases de construction et de transition, une transition supplémentaire doit avoir lieu entre les deux écologues.
3 Les mesures requises pour obtenir des résultats écologiques optimaux doivent être intégrées aux processus de préparation du site et de construction. Elles doivent être mesurées et suivies tout au long de la construction et de la transition, comme suit :
3.a Parcours de fondation : L’entrepreneur doit désigner un responsable de la biodiversité habilité à influencer les activités du site et à veiller à la mise en œuvre des mesures nécessaires.
3.b Parcours global : Un écologue aura été nommé par l’entrepreneur pour surveiller et conseiller sur la protection de l’écologie du site, conformément aux accords. Si cet écologiste a besoin de l'intervention d'un spécialiste écologique supplémentaire à un moment donné (par exemple, un expert d'une forme particulière de faune sauvage), l'entrepreneur doit fournir les services requis.</t>
  </si>
  <si>
    <t>1. Lorsqu'il n'existe, ou n'existera pas, de zones ou de bâtiments sensibles au bruit dans un rayon de 800 m autour du site évalué.
OU
2. Lorsque le bâtiment comporte des zones ou des bâtiments sensibles au bruit dans un rayon de 800 m autour du site, une évaluation d'impact acoustique conforme à la série de normes ISO 1996 est commandée. Les niveaux de bruit doivent être mesurés ou déterminés pour :
2.a Niveaux de bruit ambiant existants :
2.a.i Au niveau de l'aménagement sensible au bruit le plus proche ou le plus exposé par rapport à l'aménagement proposé, ou à un emplacement où les conditions ambiantes peuvent être considérées comme similaires.
2.a.ii Y compris les installations existantes sur un bâtiment, lorsque l'aménagement évalué est une extension de ce bâtiment.
2.b Nouveau niveau de bruit provenant du bâtiment évalué (voir M1 et M2).
3. L'évaluation d'impact acoustique doit être réalisée par un acousticien qualifié, titulaire d'une qualification reconnue en acoustique et membre d'un organisme professionnel compétent (voir Définitions page 403). 
4. Le niveau sonore du bâtiment évalué, mesuré à proximité de l'aménagement sensible au bruit le plus proche ou le plus exposé, doit être inférieur d'au moins 5 dB au bruit ambiant, de jour comme de nuit.
5. Lorsque le niveau sonore du site ou du bâtiment projeté dépasse les niveaux décrits au critère 4, des mesures ont été mises en place pour atténuer le bruit à la source et le rendre conforme au critère 4.</t>
  </si>
  <si>
    <t>à chiffrer</t>
  </si>
  <si>
    <t>en résidentiel uniquement</t>
  </si>
  <si>
    <t>Etude spécifique</t>
  </si>
  <si>
    <t>Facile à respecter ? Oui marquage CE</t>
  </si>
  <si>
    <t>pas de PV?</t>
  </si>
  <si>
    <t>sur étude STD / SED</t>
  </si>
  <si>
    <t>sur étude STD / SED et résultats</t>
  </si>
  <si>
    <t>etude à conformer avec le plan de comptage</t>
  </si>
  <si>
    <t>plan de déplacement à faire</t>
  </si>
  <si>
    <t>Calcul à réaliser</t>
  </si>
  <si>
    <t>objectif à annoncer</t>
  </si>
  <si>
    <t>selon benchmark BRE</t>
  </si>
  <si>
    <t>possible si choix client</t>
  </si>
  <si>
    <t>Attention le national recovery rate a été fixé à 70%</t>
  </si>
  <si>
    <t>Trop complexe à réaliser</t>
  </si>
  <si>
    <t>Intervention écologue</t>
  </si>
  <si>
    <t>Peu de zones à risque, étude rapide ?
Petite étude à faire</t>
  </si>
  <si>
    <t>Ok retour MOA</t>
  </si>
  <si>
    <t>Sur calcul RE2020</t>
  </si>
  <si>
    <t>calcul selon l'outil</t>
  </si>
  <si>
    <t>Plan de gestion du paysage à chiffrer</t>
  </si>
  <si>
    <t>Un guide de l'utilisateur du bâtiment est rédigé avant la livraison pour distribution aux occupants du bâtiment et aux gestionnaires des locaux.
Une formation est planifiée pour les occupants du bâtiment ou les gestionnaires des locaux.</t>
  </si>
  <si>
    <t>Option étude en coût global</t>
  </si>
  <si>
    <t>Option AP</t>
  </si>
  <si>
    <t>Entreprises (qui construisent) sont ISO 14001</t>
  </si>
  <si>
    <t>Mission de base ESSOR</t>
  </si>
  <si>
    <t>Faire intervenir un spécialiste de l'enveloppe</t>
  </si>
  <si>
    <t>Etude ALJ à faire (points obtenus sur Fenouillet)</t>
  </si>
  <si>
    <t>A vérifier sur plan mais obtenu sur Fenouillet</t>
  </si>
  <si>
    <t>Non visé</t>
  </si>
  <si>
    <t>Conformité au normes en vigueur sur l'éclairage extérieur
EN 13201 series (parts 1 to 5)(8), (9),
(10), (11), (12) and EN 12464-2:2024</t>
  </si>
  <si>
    <t>Option Hea07</t>
  </si>
  <si>
    <t>option  Hea10</t>
  </si>
  <si>
    <t>Nécessite de lancer l'étude Ene04 dès cette phase</t>
  </si>
  <si>
    <t xml:space="preserve">Détection des fuites </t>
  </si>
  <si>
    <t>Sous-comptage eau rapporté à la GTB</t>
  </si>
  <si>
    <t>APS</t>
  </si>
  <si>
    <t>APD-PRO</t>
  </si>
  <si>
    <t>Option ACV MAt01</t>
  </si>
  <si>
    <t>non visé (possible)</t>
  </si>
  <si>
    <t>Récupération des FDES de l'ensemble des produits</t>
  </si>
  <si>
    <t>option Mat03</t>
  </si>
  <si>
    <t>non visé</t>
  </si>
  <si>
    <t>Impossible</t>
  </si>
  <si>
    <t>Prévoir un suivi drastique des déchets</t>
  </si>
  <si>
    <t>option</t>
  </si>
  <si>
    <t>pas pollué</t>
  </si>
  <si>
    <t>Pas de risque d'inondation sur site (remontée de nappe en sous-so luniquement et pas de sous-sol)</t>
  </si>
  <si>
    <t>Intervention de l'acousticien</t>
  </si>
  <si>
    <t>Séparation des flux impossible</t>
  </si>
  <si>
    <t>Communication du montant au BRE (confidentiel)</t>
  </si>
  <si>
    <t>Construction d'un espace extérieur dimensionné pour les occupants
Locaux vélos
Option installation de bornes sur 10% des places + infrastrucutre sur 20% supplémentaire</t>
  </si>
  <si>
    <t>Option mat05</t>
  </si>
  <si>
    <t>Etude de risque prospection changement climatique</t>
  </si>
  <si>
    <t>Pas d'étage nécéssite une étude</t>
  </si>
  <si>
    <t>40% de surface de la toiture couverte conformément à la réglementation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</si>
</sst>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vertAlign val="superscript"/>
      <sz val="11"/>
      <color theme="1"/>
      <name val="Calibri"/>
      <family val="2"/>
    </font>
    <font>
      <sz val="11"/>
      <color rgb="FFFF0000"/>
      <name val="Calibri"/>
      <family val="2"/>
      <scheme val="minor"/>
    </font>
    <font>
      <b/>
      <sz val="10"/>
      <color rgb="FFFFFFFF"/>
      <name val="Calibri"/>
      <family val="2"/>
    </font>
    <font>
      <sz val="10"/>
      <color rgb="FF000000"/>
      <name val="Calibri"/>
      <family val="2"/>
    </font>
    <font>
      <sz val="8"/>
      <name val="Calibri"/>
      <family val="2"/>
      <scheme val="minor"/>
    </font>
    <font>
      <b/>
      <sz val="12"/>
      <color theme="1"/>
      <name val="Calibri"/>
      <family val="2"/>
      <scheme val="minor"/>
    </font>
    <font>
      <sz val="11"/>
      <color theme="1"/>
      <name val="Arial"/>
      <family val="2"/>
    </font>
    <font>
      <sz val="10"/>
      <color theme="1"/>
      <name val="Calibri"/>
      <family val="2"/>
      <scheme val="minor"/>
    </font>
    <font>
      <b/>
      <sz val="10"/>
      <color theme="1"/>
      <name val="Calibri"/>
      <family val="2"/>
      <scheme val="minor"/>
    </font>
  </fonts>
  <fills count="2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8D7CD"/>
        <bgColor indexed="64"/>
      </patternFill>
    </fill>
    <fill>
      <patternFill patternType="solid">
        <fgColor rgb="FFFCECE8"/>
        <bgColor indexed="64"/>
      </patternFill>
    </fill>
    <fill>
      <patternFill patternType="solid">
        <fgColor rgb="FFE2F0D9"/>
        <bgColor indexed="64"/>
      </patternFill>
    </fill>
    <fill>
      <patternFill patternType="solid">
        <fgColor rgb="FFFFFFCC"/>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style="hair">
        <color indexed="64"/>
      </bottom>
      <diagonal/>
    </border>
    <border>
      <left style="medium">
        <color indexed="64"/>
      </left>
      <right/>
      <top/>
      <bottom/>
      <diagonal/>
    </border>
    <border>
      <left/>
      <right/>
      <top style="hair">
        <color indexed="64"/>
      </top>
      <bottom style="hair">
        <color indexed="64"/>
      </bottom>
      <diagonal/>
    </border>
    <border>
      <left style="medium">
        <color indexed="64"/>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hair">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66">
    <xf numFmtId="0" fontId="0" fillId="0" borderId="0" xfId="0"/>
    <xf numFmtId="0" fontId="0" fillId="0" borderId="0" xfId="0" applyAlignment="1">
      <alignment horizontal="center" vertical="center"/>
    </xf>
    <xf numFmtId="0" fontId="0" fillId="0" borderId="0" xfId="0" applyAlignment="1">
      <alignment wrapText="1"/>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xf>
    <xf numFmtId="0" fontId="0" fillId="0" borderId="1" xfId="0" quotePrefix="1" applyBorder="1" applyAlignment="1">
      <alignment horizontal="center" vertical="center"/>
    </xf>
    <xf numFmtId="10" fontId="0" fillId="0" borderId="1" xfId="1" applyNumberFormat="1" applyFont="1" applyFill="1" applyBorder="1" applyAlignment="1">
      <alignment horizontal="center" vertical="center"/>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4" borderId="0" xfId="0" applyFill="1"/>
    <xf numFmtId="0" fontId="0" fillId="0" borderId="0" xfId="0" applyAlignment="1">
      <alignment vertical="center" wrapText="1"/>
    </xf>
    <xf numFmtId="0" fontId="0" fillId="0" borderId="0" xfId="0" applyAlignment="1">
      <alignment horizontal="center" vertical="center" wrapText="1"/>
    </xf>
    <xf numFmtId="10" fontId="0" fillId="0" borderId="0" xfId="1" applyNumberFormat="1" applyFont="1" applyBorder="1" applyAlignment="1">
      <alignment horizontal="center" vertical="center"/>
    </xf>
    <xf numFmtId="10" fontId="0" fillId="0" borderId="0" xfId="1" applyNumberFormat="1" applyFont="1" applyAlignment="1">
      <alignment horizontal="center" vertical="center"/>
    </xf>
    <xf numFmtId="44" fontId="0" fillId="0" borderId="0" xfId="0" applyNumberFormat="1"/>
    <xf numFmtId="44" fontId="0" fillId="0" borderId="0" xfId="2" applyFont="1" applyBorder="1" applyAlignment="1">
      <alignment vertical="center"/>
    </xf>
    <xf numFmtId="44" fontId="0" fillId="0" borderId="0" xfId="2" applyFont="1" applyAlignment="1">
      <alignment vertical="center"/>
    </xf>
    <xf numFmtId="0" fontId="0" fillId="0" borderId="0" xfId="0" applyAlignment="1">
      <alignment horizontal="center"/>
    </xf>
    <xf numFmtId="0" fontId="0" fillId="3" borderId="4" xfId="0" applyFill="1" applyBorder="1" applyAlignment="1">
      <alignment horizontal="center" vertical="center"/>
    </xf>
    <xf numFmtId="0" fontId="0" fillId="3" borderId="4" xfId="0" applyFill="1" applyBorder="1" applyAlignment="1">
      <alignment horizontal="center" vertical="center" wrapText="1"/>
    </xf>
    <xf numFmtId="0" fontId="0" fillId="3" borderId="4" xfId="0" quotePrefix="1" applyFill="1" applyBorder="1" applyAlignment="1">
      <alignment horizontal="center" vertical="center"/>
    </xf>
    <xf numFmtId="0" fontId="0" fillId="3" borderId="1" xfId="0" applyFill="1" applyBorder="1" applyAlignment="1">
      <alignment horizontal="center" vertical="center" wrapText="1"/>
    </xf>
    <xf numFmtId="0" fontId="0" fillId="3" borderId="1" xfId="0" quotePrefix="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quotePrefix="1" applyFill="1" applyBorder="1" applyAlignment="1">
      <alignment horizontal="center" vertical="center"/>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10" fontId="0" fillId="0" borderId="2" xfId="0" applyNumberFormat="1" applyBorder="1" applyAlignment="1">
      <alignment horizontal="center" vertical="center"/>
    </xf>
    <xf numFmtId="44" fontId="0" fillId="0" borderId="2" xfId="0" applyNumberFormat="1" applyBorder="1" applyAlignment="1">
      <alignment horizontal="center" vertical="center"/>
    </xf>
    <xf numFmtId="0" fontId="0" fillId="0" borderId="3" xfId="0" applyBorder="1" applyAlignment="1">
      <alignment horizontal="left" vertical="center" wrapText="1"/>
    </xf>
    <xf numFmtId="16" fontId="0" fillId="0" borderId="0" xfId="0" quotePrefix="1" applyNumberFormat="1" applyAlignment="1">
      <alignment horizontal="center" vertical="center"/>
    </xf>
    <xf numFmtId="0" fontId="0" fillId="0" borderId="0" xfId="0" quotePrefix="1" applyAlignment="1">
      <alignment horizontal="center" vertical="center"/>
    </xf>
    <xf numFmtId="0" fontId="7" fillId="13" borderId="24" xfId="0" applyFont="1" applyFill="1" applyBorder="1" applyAlignment="1">
      <alignment horizontal="right" vertical="center" wrapText="1" indent="1" readingOrder="1"/>
    </xf>
    <xf numFmtId="10" fontId="7" fillId="13" borderId="24" xfId="0" applyNumberFormat="1" applyFont="1" applyFill="1" applyBorder="1" applyAlignment="1">
      <alignment horizontal="center" vertical="center" wrapText="1" readingOrder="1"/>
    </xf>
    <xf numFmtId="10" fontId="7" fillId="14" borderId="24" xfId="0" applyNumberFormat="1" applyFont="1" applyFill="1" applyBorder="1" applyAlignment="1">
      <alignment horizontal="center" vertical="center" wrapText="1" readingOrder="1"/>
    </xf>
    <xf numFmtId="10" fontId="6" fillId="15" borderId="24" xfId="0" applyNumberFormat="1" applyFont="1" applyFill="1" applyBorder="1" applyAlignment="1">
      <alignment horizontal="left" vertical="center" wrapText="1" readingOrder="1"/>
    </xf>
    <xf numFmtId="10" fontId="7" fillId="13" borderId="24" xfId="0" applyNumberFormat="1" applyFont="1" applyFill="1" applyBorder="1" applyAlignment="1">
      <alignment horizontal="left" vertical="center" wrapText="1" readingOrder="1"/>
    </xf>
    <xf numFmtId="10" fontId="7" fillId="14" borderId="24" xfId="0" applyNumberFormat="1" applyFont="1" applyFill="1" applyBorder="1" applyAlignment="1">
      <alignment horizontal="left" vertical="center" wrapText="1" readingOrder="1"/>
    </xf>
    <xf numFmtId="9" fontId="7" fillId="14" borderId="24" xfId="0" applyNumberFormat="1" applyFont="1" applyFill="1" applyBorder="1" applyAlignment="1">
      <alignment horizontal="left" vertical="center" wrapText="1" readingOrder="1"/>
    </xf>
    <xf numFmtId="0" fontId="0" fillId="0" borderId="4" xfId="0" applyBorder="1" applyAlignment="1">
      <alignment horizontal="left" vertical="top" wrapText="1"/>
    </xf>
    <xf numFmtId="17" fontId="0" fillId="3" borderId="4" xfId="0" quotePrefix="1" applyNumberFormat="1" applyFill="1" applyBorder="1" applyAlignment="1">
      <alignment horizontal="center" vertical="center"/>
    </xf>
    <xf numFmtId="0" fontId="0" fillId="16" borderId="7" xfId="0" applyFill="1" applyBorder="1" applyAlignment="1">
      <alignment horizontal="left" vertical="center" wrapText="1"/>
    </xf>
    <xf numFmtId="0" fontId="5" fillId="16" borderId="7" xfId="0" applyFont="1" applyFill="1" applyBorder="1" applyAlignment="1">
      <alignment horizontal="left" vertical="center" wrapText="1"/>
    </xf>
    <xf numFmtId="0" fontId="0" fillId="16" borderId="4"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horizontal="left" vertical="center" wrapText="1"/>
    </xf>
    <xf numFmtId="0" fontId="0" fillId="16" borderId="1" xfId="0" applyFill="1" applyBorder="1" applyAlignment="1">
      <alignment horizontal="center" vertical="center"/>
    </xf>
    <xf numFmtId="0" fontId="0" fillId="16" borderId="1" xfId="0" applyFill="1" applyBorder="1" applyAlignment="1">
      <alignment horizontal="left" vertical="center"/>
    </xf>
    <xf numFmtId="0" fontId="9" fillId="0" borderId="6" xfId="0" applyFont="1" applyBorder="1" applyAlignment="1">
      <alignment horizontal="left" vertical="top" wrapText="1"/>
    </xf>
    <xf numFmtId="0" fontId="0" fillId="0" borderId="22" xfId="0" applyBorder="1" applyAlignment="1">
      <alignment horizontal="left" vertical="top" wrapText="1"/>
    </xf>
    <xf numFmtId="0" fontId="0" fillId="0" borderId="1" xfId="0" applyBorder="1" applyAlignment="1">
      <alignment horizontal="left" vertical="top" wrapText="1"/>
    </xf>
    <xf numFmtId="16" fontId="0" fillId="3" borderId="4" xfId="0" quotePrefix="1" applyNumberFormat="1" applyFill="1" applyBorder="1" applyAlignment="1">
      <alignment horizontal="center" vertical="center"/>
    </xf>
    <xf numFmtId="0" fontId="0" fillId="17" borderId="4" xfId="0" applyFill="1" applyBorder="1" applyAlignment="1">
      <alignment horizontal="center" vertical="center"/>
    </xf>
    <xf numFmtId="10" fontId="0" fillId="0" borderId="4" xfId="1" applyNumberFormat="1" applyFont="1" applyFill="1" applyBorder="1" applyAlignment="1">
      <alignment horizontal="center" vertical="center" wrapText="1"/>
    </xf>
    <xf numFmtId="10" fontId="0" fillId="0" borderId="1" xfId="1" applyNumberFormat="1" applyFont="1" applyFill="1" applyBorder="1" applyAlignment="1">
      <alignment horizontal="center" vertical="center" wrapText="1"/>
    </xf>
    <xf numFmtId="10" fontId="0" fillId="8" borderId="4" xfId="1" applyNumberFormat="1" applyFont="1" applyFill="1" applyBorder="1" applyAlignment="1">
      <alignment horizontal="center" vertical="center" wrapText="1"/>
    </xf>
    <xf numFmtId="49" fontId="0" fillId="17" borderId="1" xfId="0" applyNumberFormat="1" applyFill="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center" vertical="center"/>
    </xf>
    <xf numFmtId="0" fontId="11" fillId="0" borderId="0" xfId="0" applyFont="1"/>
    <xf numFmtId="0" fontId="11" fillId="0" borderId="16" xfId="0" applyFont="1" applyBorder="1"/>
    <xf numFmtId="0" fontId="12" fillId="0" borderId="0" xfId="0" applyFont="1" applyAlignment="1">
      <alignment horizontal="center" vertical="center"/>
    </xf>
    <xf numFmtId="10" fontId="11" fillId="0" borderId="1" xfId="0" applyNumberFormat="1" applyFont="1" applyBorder="1"/>
    <xf numFmtId="0" fontId="12" fillId="0" borderId="0" xfId="0" applyFont="1"/>
    <xf numFmtId="0" fontId="11" fillId="7" borderId="10" xfId="0" applyFont="1" applyFill="1" applyBorder="1"/>
    <xf numFmtId="0" fontId="11" fillId="8" borderId="10" xfId="0" applyFont="1" applyFill="1" applyBorder="1" applyAlignment="1">
      <alignment horizontal="center" vertical="center"/>
    </xf>
    <xf numFmtId="0" fontId="11" fillId="16" borderId="0" xfId="0" applyFont="1" applyFill="1"/>
    <xf numFmtId="0" fontId="11" fillId="0" borderId="1" xfId="0" applyFont="1" applyBorder="1" applyAlignment="1">
      <alignment horizontal="center"/>
    </xf>
    <xf numFmtId="0" fontId="11" fillId="0" borderId="1" xfId="0" applyFont="1" applyBorder="1"/>
    <xf numFmtId="0" fontId="11" fillId="7" borderId="12" xfId="0" applyFont="1" applyFill="1" applyBorder="1"/>
    <xf numFmtId="0" fontId="11" fillId="8" borderId="12" xfId="0" applyFont="1" applyFill="1" applyBorder="1" applyAlignment="1">
      <alignment horizontal="center" vertical="center"/>
    </xf>
    <xf numFmtId="10" fontId="12" fillId="9" borderId="0" xfId="0" applyNumberFormat="1" applyFont="1" applyFill="1"/>
    <xf numFmtId="10" fontId="11" fillId="0" borderId="0" xfId="0" applyNumberFormat="1" applyFont="1"/>
    <xf numFmtId="10" fontId="12" fillId="0" borderId="0" xfId="0" applyNumberFormat="1" applyFont="1"/>
    <xf numFmtId="0" fontId="11" fillId="7" borderId="14" xfId="0" applyFont="1" applyFill="1" applyBorder="1"/>
    <xf numFmtId="0" fontId="11" fillId="8" borderId="14" xfId="0" applyFont="1" applyFill="1" applyBorder="1" applyAlignment="1">
      <alignment horizontal="center" vertical="center"/>
    </xf>
    <xf numFmtId="0" fontId="11" fillId="10" borderId="10" xfId="0" applyFont="1" applyFill="1" applyBorder="1"/>
    <xf numFmtId="0" fontId="11" fillId="11" borderId="10" xfId="0" applyFont="1" applyFill="1" applyBorder="1" applyAlignment="1">
      <alignment horizontal="center" vertical="center"/>
    </xf>
    <xf numFmtId="0" fontId="11" fillId="10" borderId="12" xfId="0" applyFont="1" applyFill="1" applyBorder="1"/>
    <xf numFmtId="0" fontId="11" fillId="11" borderId="12" xfId="0" applyFont="1" applyFill="1" applyBorder="1" applyAlignment="1">
      <alignment horizontal="center" vertical="center"/>
    </xf>
    <xf numFmtId="9" fontId="11" fillId="0" borderId="0" xfId="0" applyNumberFormat="1" applyFont="1"/>
    <xf numFmtId="9" fontId="12" fillId="0" borderId="0" xfId="1" applyFont="1" applyFill="1" applyBorder="1"/>
    <xf numFmtId="0" fontId="11" fillId="10" borderId="19" xfId="0" applyFont="1" applyFill="1" applyBorder="1"/>
    <xf numFmtId="0" fontId="11" fillId="11" borderId="19" xfId="0" applyFont="1" applyFill="1" applyBorder="1" applyAlignment="1">
      <alignment horizontal="center" vertical="center"/>
    </xf>
    <xf numFmtId="0" fontId="11" fillId="0" borderId="0" xfId="0" applyFont="1" applyAlignment="1">
      <alignment horizontal="left" vertical="center"/>
    </xf>
    <xf numFmtId="0" fontId="12" fillId="12" borderId="17" xfId="0" applyFont="1" applyFill="1" applyBorder="1"/>
    <xf numFmtId="0" fontId="12" fillId="12" borderId="18" xfId="0" applyFont="1" applyFill="1" applyBorder="1"/>
    <xf numFmtId="10" fontId="12" fillId="0" borderId="18" xfId="0" applyNumberFormat="1" applyFont="1" applyBorder="1"/>
    <xf numFmtId="10" fontId="12" fillId="0" borderId="23" xfId="0" applyNumberFormat="1" applyFont="1" applyBorder="1"/>
    <xf numFmtId="164" fontId="11" fillId="0" borderId="0" xfId="1" applyNumberFormat="1" applyFont="1"/>
    <xf numFmtId="0" fontId="11" fillId="0" borderId="15" xfId="0" applyFont="1" applyBorder="1" applyAlignment="1">
      <alignment horizontal="right" vertical="center" wrapText="1"/>
    </xf>
    <xf numFmtId="0" fontId="11" fillId="10" borderId="14" xfId="0" applyFont="1" applyFill="1" applyBorder="1"/>
    <xf numFmtId="0" fontId="11" fillId="11" borderId="14" xfId="0" applyFont="1" applyFill="1" applyBorder="1" applyAlignment="1">
      <alignment horizontal="center" vertical="center"/>
    </xf>
    <xf numFmtId="9" fontId="11" fillId="0" borderId="0" xfId="1" applyFont="1"/>
    <xf numFmtId="10" fontId="11" fillId="0" borderId="0" xfId="1" applyNumberFormat="1" applyFont="1"/>
    <xf numFmtId="0" fontId="11" fillId="7" borderId="19" xfId="0" applyFont="1" applyFill="1" applyBorder="1"/>
    <xf numFmtId="0" fontId="11" fillId="8" borderId="19" xfId="0" applyFont="1" applyFill="1" applyBorder="1" applyAlignment="1">
      <alignment horizontal="center" vertical="center"/>
    </xf>
    <xf numFmtId="0" fontId="0" fillId="5" borderId="4" xfId="0" applyFill="1" applyBorder="1" applyAlignment="1">
      <alignment horizontal="center" vertical="center"/>
    </xf>
    <xf numFmtId="10" fontId="0" fillId="5" borderId="4" xfId="1" applyNumberFormat="1" applyFont="1" applyFill="1" applyBorder="1" applyAlignment="1">
      <alignment horizontal="center" vertical="center" wrapText="1"/>
    </xf>
    <xf numFmtId="0" fontId="0" fillId="5" borderId="1" xfId="0" applyFill="1" applyBorder="1" applyAlignment="1">
      <alignment horizontal="center" vertical="center"/>
    </xf>
    <xf numFmtId="10" fontId="0" fillId="18" borderId="4" xfId="1" applyNumberFormat="1" applyFont="1" applyFill="1" applyBorder="1" applyAlignment="1">
      <alignment horizontal="center" vertical="center" wrapText="1"/>
    </xf>
    <xf numFmtId="10" fontId="0" fillId="19" borderId="4" xfId="1" applyNumberFormat="1" applyFont="1" applyFill="1" applyBorder="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0" fillId="16" borderId="7" xfId="0" applyFill="1" applyBorder="1" applyAlignment="1">
      <alignment horizontal="center" vertical="center" wrapText="1"/>
    </xf>
    <xf numFmtId="0" fontId="0" fillId="16" borderId="4" xfId="0" applyFill="1" applyBorder="1" applyAlignment="1">
      <alignment horizontal="center" vertical="center" wrapText="1"/>
    </xf>
    <xf numFmtId="0" fontId="0" fillId="16" borderId="22" xfId="0" applyFill="1" applyBorder="1" applyAlignment="1">
      <alignment horizontal="center" vertical="center" wrapText="1"/>
    </xf>
    <xf numFmtId="10" fontId="11" fillId="11" borderId="31" xfId="1" applyNumberFormat="1" applyFont="1" applyFill="1" applyBorder="1" applyAlignment="1">
      <alignment horizontal="center" vertical="center"/>
    </xf>
    <xf numFmtId="10" fontId="11" fillId="11" borderId="29" xfId="1" applyNumberFormat="1" applyFont="1" applyFill="1" applyBorder="1" applyAlignment="1">
      <alignment horizontal="center" vertical="center"/>
    </xf>
    <xf numFmtId="10" fontId="11" fillId="11" borderId="35" xfId="1" applyNumberFormat="1" applyFont="1" applyFill="1" applyBorder="1" applyAlignment="1">
      <alignment horizontal="center" vertical="center"/>
    </xf>
    <xf numFmtId="10" fontId="11" fillId="5" borderId="31" xfId="1" applyNumberFormat="1" applyFont="1" applyFill="1" applyBorder="1" applyAlignment="1">
      <alignment horizontal="center" vertical="center"/>
    </xf>
    <xf numFmtId="10" fontId="11" fillId="5" borderId="29" xfId="1" applyNumberFormat="1" applyFont="1" applyFill="1" applyBorder="1" applyAlignment="1">
      <alignment horizontal="center" vertical="center"/>
    </xf>
    <xf numFmtId="10" fontId="11" fillId="5" borderId="35" xfId="1" applyNumberFormat="1" applyFont="1" applyFill="1" applyBorder="1" applyAlignment="1">
      <alignment horizontal="center" vertical="center"/>
    </xf>
    <xf numFmtId="10" fontId="11" fillId="11" borderId="30" xfId="1" applyNumberFormat="1" applyFont="1" applyFill="1" applyBorder="1" applyAlignment="1">
      <alignment horizontal="center" vertical="center"/>
    </xf>
    <xf numFmtId="10" fontId="11" fillId="11" borderId="28" xfId="1" applyNumberFormat="1" applyFont="1" applyFill="1" applyBorder="1" applyAlignment="1">
      <alignment horizontal="center" vertical="center"/>
    </xf>
    <xf numFmtId="10" fontId="11" fillId="11" borderId="34" xfId="1" applyNumberFormat="1" applyFont="1" applyFill="1" applyBorder="1" applyAlignment="1">
      <alignment horizontal="center" vertical="center"/>
    </xf>
    <xf numFmtId="10" fontId="11" fillId="5" borderId="30" xfId="1" applyNumberFormat="1" applyFont="1" applyFill="1" applyBorder="1" applyAlignment="1">
      <alignment horizontal="center" vertical="center"/>
    </xf>
    <xf numFmtId="10" fontId="11" fillId="5" borderId="28" xfId="1" applyNumberFormat="1" applyFont="1" applyFill="1" applyBorder="1" applyAlignment="1">
      <alignment horizontal="center" vertical="center"/>
    </xf>
    <xf numFmtId="10" fontId="11" fillId="5" borderId="34" xfId="1" applyNumberFormat="1" applyFont="1" applyFill="1" applyBorder="1" applyAlignment="1">
      <alignment horizontal="center" vertical="center"/>
    </xf>
    <xf numFmtId="0" fontId="11" fillId="10" borderId="9" xfId="0" applyFont="1" applyFill="1" applyBorder="1" applyAlignment="1">
      <alignment horizontal="center" vertical="center" textRotation="90" wrapText="1"/>
    </xf>
    <xf numFmtId="0" fontId="11" fillId="10" borderId="11" xfId="0" applyFont="1" applyFill="1" applyBorder="1" applyAlignment="1">
      <alignment horizontal="center" vertical="center" textRotation="90" wrapText="1"/>
    </xf>
    <xf numFmtId="0" fontId="11" fillId="10" borderId="13" xfId="0" applyFont="1" applyFill="1" applyBorder="1" applyAlignment="1">
      <alignment horizontal="center" vertical="center" textRotation="90" wrapText="1"/>
    </xf>
    <xf numFmtId="0" fontId="12" fillId="10" borderId="15" xfId="0" applyFont="1" applyFill="1" applyBorder="1" applyAlignment="1">
      <alignment horizontal="center" vertical="center"/>
    </xf>
    <xf numFmtId="0" fontId="12" fillId="10" borderId="0" xfId="0" applyFont="1" applyFill="1" applyAlignment="1">
      <alignment horizontal="center" vertical="center"/>
    </xf>
    <xf numFmtId="0" fontId="12" fillId="10" borderId="16" xfId="0" applyFont="1" applyFill="1" applyBorder="1" applyAlignment="1">
      <alignment horizontal="center" vertical="center"/>
    </xf>
    <xf numFmtId="0" fontId="11" fillId="11" borderId="15" xfId="0" applyFont="1" applyFill="1" applyBorder="1" applyAlignment="1">
      <alignment horizontal="center" vertical="center"/>
    </xf>
    <xf numFmtId="0" fontId="11" fillId="11" borderId="0" xfId="0" applyFont="1" applyFill="1" applyAlignment="1">
      <alignment horizontal="center" vertical="center"/>
    </xf>
    <xf numFmtId="0" fontId="11" fillId="11" borderId="16" xfId="0" applyFont="1" applyFill="1" applyBorder="1" applyAlignment="1">
      <alignment horizontal="center" vertical="center"/>
    </xf>
    <xf numFmtId="10" fontId="12" fillId="10" borderId="27" xfId="1" applyNumberFormat="1" applyFont="1" applyFill="1" applyBorder="1" applyAlignment="1">
      <alignment horizontal="center" vertical="center"/>
    </xf>
    <xf numFmtId="10" fontId="12" fillId="10" borderId="26" xfId="1" applyNumberFormat="1" applyFont="1" applyFill="1" applyBorder="1" applyAlignment="1">
      <alignment horizontal="center" vertical="center"/>
    </xf>
    <xf numFmtId="10" fontId="12" fillId="10" borderId="25" xfId="1" applyNumberFormat="1" applyFont="1" applyFill="1" applyBorder="1" applyAlignment="1">
      <alignment horizontal="center" vertical="center"/>
    </xf>
    <xf numFmtId="0" fontId="11" fillId="7" borderId="9" xfId="0" applyFont="1" applyFill="1" applyBorder="1" applyAlignment="1">
      <alignment horizontal="center" vertical="center" textRotation="90" wrapText="1"/>
    </xf>
    <xf numFmtId="0" fontId="11" fillId="7" borderId="11" xfId="0" applyFont="1" applyFill="1" applyBorder="1" applyAlignment="1">
      <alignment horizontal="center" vertical="center" textRotation="90" wrapText="1"/>
    </xf>
    <xf numFmtId="0" fontId="12" fillId="7" borderId="15" xfId="0" applyFont="1" applyFill="1" applyBorder="1" applyAlignment="1">
      <alignment horizontal="center" vertical="center"/>
    </xf>
    <xf numFmtId="0" fontId="12" fillId="7" borderId="0" xfId="0" applyFont="1" applyFill="1" applyAlignment="1">
      <alignment horizontal="center" vertical="center"/>
    </xf>
    <xf numFmtId="0" fontId="11" fillId="5" borderId="15" xfId="0" applyFont="1" applyFill="1" applyBorder="1" applyAlignment="1">
      <alignment horizontal="center" vertical="center"/>
    </xf>
    <xf numFmtId="0" fontId="11" fillId="5" borderId="0" xfId="0" applyFont="1" applyFill="1" applyAlignment="1">
      <alignment horizontal="center" vertical="center"/>
    </xf>
    <xf numFmtId="10" fontId="12" fillId="7" borderId="3" xfId="1" applyNumberFormat="1" applyFont="1" applyFill="1" applyBorder="1" applyAlignment="1">
      <alignment horizontal="center" vertical="center"/>
    </xf>
    <xf numFmtId="0" fontId="11" fillId="7" borderId="13" xfId="0" applyFont="1" applyFill="1" applyBorder="1" applyAlignment="1">
      <alignment horizontal="center" vertical="center" textRotation="90" wrapText="1"/>
    </xf>
    <xf numFmtId="0" fontId="12" fillId="7" borderId="16" xfId="0" applyFont="1" applyFill="1" applyBorder="1" applyAlignment="1">
      <alignment horizontal="center" vertical="center"/>
    </xf>
    <xf numFmtId="0" fontId="11" fillId="8" borderId="15" xfId="0" applyFont="1" applyFill="1" applyBorder="1" applyAlignment="1">
      <alignment horizontal="center" vertical="center"/>
    </xf>
    <xf numFmtId="0" fontId="11" fillId="8" borderId="0" xfId="0" applyFont="1" applyFill="1" applyAlignment="1">
      <alignment horizontal="center" vertical="center"/>
    </xf>
    <xf numFmtId="0" fontId="11" fillId="8" borderId="16" xfId="0" applyFont="1" applyFill="1" applyBorder="1" applyAlignment="1">
      <alignment horizontal="center" vertical="center"/>
    </xf>
    <xf numFmtId="10" fontId="12" fillId="7" borderId="21" xfId="1" applyNumberFormat="1" applyFont="1" applyFill="1" applyBorder="1" applyAlignment="1">
      <alignment horizontal="center" vertical="center"/>
    </xf>
    <xf numFmtId="10" fontId="12" fillId="7" borderId="26" xfId="1" applyNumberFormat="1" applyFont="1" applyFill="1" applyBorder="1" applyAlignment="1">
      <alignment horizontal="center" vertical="center"/>
    </xf>
    <xf numFmtId="10" fontId="12" fillId="7" borderId="20" xfId="1" applyNumberFormat="1" applyFont="1" applyFill="1" applyBorder="1" applyAlignment="1">
      <alignment horizontal="center" vertical="center"/>
    </xf>
    <xf numFmtId="0" fontId="12" fillId="7" borderId="10" xfId="0" applyFont="1" applyFill="1" applyBorder="1" applyAlignment="1">
      <alignment horizontal="center" vertical="center"/>
    </xf>
    <xf numFmtId="0" fontId="12" fillId="7" borderId="12" xfId="0" applyFont="1" applyFill="1" applyBorder="1" applyAlignment="1">
      <alignment horizontal="center" vertical="center"/>
    </xf>
    <xf numFmtId="0" fontId="12" fillId="7" borderId="14" xfId="0" applyFont="1" applyFill="1" applyBorder="1" applyAlignment="1">
      <alignment horizontal="center" vertical="center"/>
    </xf>
    <xf numFmtId="0" fontId="11" fillId="8" borderId="10" xfId="0" applyFont="1" applyFill="1" applyBorder="1" applyAlignment="1">
      <alignment horizontal="center" vertical="center"/>
    </xf>
    <xf numFmtId="0" fontId="11" fillId="8" borderId="12" xfId="0" applyFont="1" applyFill="1" applyBorder="1" applyAlignment="1">
      <alignment horizontal="center" vertical="center"/>
    </xf>
    <xf numFmtId="0" fontId="11" fillId="8" borderId="14" xfId="0" applyFont="1" applyFill="1" applyBorder="1" applyAlignment="1">
      <alignment horizontal="center" vertical="center"/>
    </xf>
    <xf numFmtId="10" fontId="12" fillId="7" borderId="27" xfId="1" applyNumberFormat="1" applyFont="1" applyFill="1" applyBorder="1" applyAlignment="1">
      <alignment horizontal="center" vertical="center"/>
    </xf>
    <xf numFmtId="10" fontId="11" fillId="5" borderId="32" xfId="1" applyNumberFormat="1" applyFont="1" applyFill="1" applyBorder="1" applyAlignment="1">
      <alignment horizontal="center" vertical="center"/>
    </xf>
    <xf numFmtId="10" fontId="11" fillId="5" borderId="33" xfId="1" applyNumberFormat="1" applyFont="1" applyFill="1" applyBorder="1" applyAlignment="1">
      <alignment horizontal="center" vertical="center"/>
    </xf>
    <xf numFmtId="10" fontId="11" fillId="5" borderId="36" xfId="1" applyNumberFormat="1" applyFont="1" applyFill="1" applyBorder="1" applyAlignment="1">
      <alignment horizontal="center" vertical="center"/>
    </xf>
    <xf numFmtId="10" fontId="11" fillId="11" borderId="32" xfId="1" applyNumberFormat="1" applyFont="1" applyFill="1" applyBorder="1" applyAlignment="1">
      <alignment horizontal="center" vertical="center"/>
    </xf>
    <xf numFmtId="10" fontId="11" fillId="11" borderId="33" xfId="1" applyNumberFormat="1" applyFont="1" applyFill="1" applyBorder="1" applyAlignment="1">
      <alignment horizontal="center" vertical="center"/>
    </xf>
    <xf numFmtId="10" fontId="11" fillId="11" borderId="36" xfId="1" applyNumberFormat="1" applyFont="1" applyFill="1" applyBorder="1" applyAlignment="1">
      <alignment horizontal="center" vertical="center"/>
    </xf>
  </cellXfs>
  <cellStyles count="3">
    <cellStyle name="Monétaire" xfId="2" builtinId="4"/>
    <cellStyle name="Normal" xfId="0" builtinId="0"/>
    <cellStyle name="Pourcentage" xfId="1" builtinId="5"/>
  </cellStyles>
  <dxfs count="15">
    <dxf>
      <fill>
        <patternFill>
          <bgColor theme="0" tint="-0.34998626667073579"/>
        </patternFill>
      </fill>
    </dxf>
    <dxf>
      <fill>
        <patternFill>
          <bgColor theme="0" tint="-0.34998626667073579"/>
        </patternFill>
      </fill>
    </dxf>
    <dxf>
      <font>
        <strike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strike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strike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Calibri"/>
        <scheme val="minor"/>
      </font>
      <alignment textRotation="0" relativeIndent="0" justifyLastLine="0" shrinkToFit="0" readingOrder="0"/>
      <border diagonalUp="0" diagonalDown="0" outline="0">
        <left style="thin">
          <color indexed="64"/>
        </left>
        <right style="thin">
          <color indexed="64"/>
        </right>
        <top/>
        <bottom/>
      </border>
    </dxf>
    <dxf>
      <border>
        <bottom style="thin">
          <color indexed="64"/>
        </bottom>
        <vertical/>
        <horizontal/>
      </border>
    </dxf>
    <dxf>
      <font>
        <strike val="0"/>
        <outline val="0"/>
        <shadow val="0"/>
        <u val="none"/>
        <vertAlign val="baseline"/>
        <sz val="11"/>
        <color theme="1"/>
        <name val="Calibri"/>
        <scheme val="minor"/>
      </font>
      <alignment horizontal="center" vertical="center" textRotation="0" wrapText="1"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fr-FR" sz="1800"/>
              <a:t>Poids total de chaque thématique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2237563006008253"/>
          <c:y val="0.18983817438277698"/>
          <c:w val="0.58890413229805594"/>
          <c:h val="0.65843174964869089"/>
        </c:manualLayout>
      </c:layout>
      <c:pieChart>
        <c:varyColors val="1"/>
        <c:ser>
          <c:idx val="0"/>
          <c:order val="0"/>
          <c:tx>
            <c:strRef>
              <c:f>Score!$Q$2</c:f>
              <c:strCache>
                <c:ptCount val="1"/>
                <c:pt idx="0">
                  <c:v>Pondération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7F-41CD-B6AA-A5C86EE8C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7F-41CD-B6AA-A5C86EE8C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7F-41CD-B6AA-A5C86EE8C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7F-41CD-B6AA-A5C86EE8C1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7F-41CD-B6AA-A5C86EE8C1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7F-41CD-B6AA-A5C86EE8C1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97F-41CD-B6AA-A5C86EE8C1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97F-41CD-B6AA-A5C86EE8C1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97F-41CD-B6AA-A5C86EE8C1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97F-41CD-B6AA-A5C86EE8C1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73F-4326-BC45-CC967CFEF3F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fr-FR"/>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Score!$P$3:$P$12</c:f>
              <c:strCache>
                <c:ptCount val="10"/>
                <c:pt idx="0">
                  <c:v>Management</c:v>
                </c:pt>
                <c:pt idx="1">
                  <c:v>Health and Wellbeing</c:v>
                </c:pt>
                <c:pt idx="2">
                  <c:v>Energy</c:v>
                </c:pt>
                <c:pt idx="3">
                  <c:v>Transport</c:v>
                </c:pt>
                <c:pt idx="4">
                  <c:v>Water</c:v>
                </c:pt>
                <c:pt idx="5">
                  <c:v>Materials</c:v>
                </c:pt>
                <c:pt idx="6">
                  <c:v>Waste</c:v>
                </c:pt>
                <c:pt idx="7">
                  <c:v>Land Use and ecology</c:v>
                </c:pt>
                <c:pt idx="8">
                  <c:v>Pollution</c:v>
                </c:pt>
                <c:pt idx="9">
                  <c:v>Innovation</c:v>
                </c:pt>
              </c:strCache>
            </c:strRef>
          </c:cat>
          <c:val>
            <c:numRef>
              <c:f>Score!$Q$3:$Q$12</c:f>
              <c:numCache>
                <c:formatCode>0.00%</c:formatCode>
                <c:ptCount val="10"/>
                <c:pt idx="0">
                  <c:v>0.11</c:v>
                </c:pt>
                <c:pt idx="1">
                  <c:v>0.19</c:v>
                </c:pt>
                <c:pt idx="2">
                  <c:v>0.16</c:v>
                </c:pt>
                <c:pt idx="3">
                  <c:v>0.08</c:v>
                </c:pt>
                <c:pt idx="4">
                  <c:v>7.4999999999999997E-2</c:v>
                </c:pt>
                <c:pt idx="5">
                  <c:v>0.155</c:v>
                </c:pt>
                <c:pt idx="6">
                  <c:v>7.0000000000000007E-2</c:v>
                </c:pt>
                <c:pt idx="7">
                  <c:v>0.105</c:v>
                </c:pt>
                <c:pt idx="8">
                  <c:v>0.04</c:v>
                </c:pt>
                <c:pt idx="9">
                  <c:v>0.1</c:v>
                </c:pt>
              </c:numCache>
            </c:numRef>
          </c:val>
          <c:extLst>
            <c:ext xmlns:c16="http://schemas.microsoft.com/office/drawing/2014/chart" uri="{C3380CC4-5D6E-409C-BE32-E72D297353CC}">
              <c16:uniqueId val="{00000000-A4D5-44B3-B031-54E5D1A8221B}"/>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Pondération des crédits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Score!$A$2</c:f>
              <c:strCache>
                <c:ptCount val="1"/>
                <c:pt idx="0">
                  <c:v>Management</c:v>
                </c:pt>
              </c:strCache>
            </c:strRef>
          </c:tx>
          <c:spPr>
            <a:solidFill>
              <a:schemeClr val="accent1"/>
            </a:solidFill>
            <a:ln>
              <a:noFill/>
            </a:ln>
            <a:effectLst/>
          </c:spPr>
          <c:invertIfNegative val="0"/>
          <c:dLbls>
            <c:dLbl>
              <c:idx val="0"/>
              <c:dLblPos val="in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9-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Score!$K$2</c:f>
              <c:numCache>
                <c:formatCode>0.00%</c:formatCode>
                <c:ptCount val="1"/>
                <c:pt idx="0">
                  <c:v>7.3333333333333332E-3</c:v>
                </c:pt>
              </c:numCache>
            </c:numRef>
          </c:val>
          <c:extLst>
            <c:ext xmlns:c16="http://schemas.microsoft.com/office/drawing/2014/chart" uri="{C3380CC4-5D6E-409C-BE32-E72D297353CC}">
              <c16:uniqueId val="{00000000-9D3B-4D43-B777-E4FEA882EEAB}"/>
            </c:ext>
          </c:extLst>
        </c:ser>
        <c:ser>
          <c:idx val="5"/>
          <c:order val="1"/>
          <c:tx>
            <c:strRef>
              <c:f>Score!$A$7</c:f>
              <c:strCache>
                <c:ptCount val="1"/>
                <c:pt idx="0">
                  <c:v>Health and Wellbeing</c:v>
                </c:pt>
              </c:strCache>
            </c:strRef>
          </c:tx>
          <c:spPr>
            <a:solidFill>
              <a:schemeClr val="accent2"/>
            </a:solidFill>
            <a:ln>
              <a:noFill/>
            </a:ln>
            <a:effectLst/>
          </c:spPr>
          <c:invertIfNegative val="0"/>
          <c:dLbls>
            <c:dLbl>
              <c:idx val="0"/>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A-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Score!$K$7</c:f>
              <c:numCache>
                <c:formatCode>0.00%</c:formatCode>
                <c:ptCount val="1"/>
                <c:pt idx="0">
                  <c:v>3.1666666666666669E-2</c:v>
                </c:pt>
              </c:numCache>
            </c:numRef>
          </c:val>
          <c:extLst>
            <c:ext xmlns:c16="http://schemas.microsoft.com/office/drawing/2014/chart" uri="{C3380CC4-5D6E-409C-BE32-E72D297353CC}">
              <c16:uniqueId val="{00000005-9D3B-4D43-B777-E4FEA882EEAB}"/>
            </c:ext>
          </c:extLst>
        </c:ser>
        <c:ser>
          <c:idx val="14"/>
          <c:order val="2"/>
          <c:tx>
            <c:strRef>
              <c:f>Score!$A$17</c:f>
              <c:strCache>
                <c:ptCount val="1"/>
                <c:pt idx="0">
                  <c:v>Energy</c:v>
                </c:pt>
              </c:strCache>
            </c:strRef>
          </c:tx>
          <c:spPr>
            <a:solidFill>
              <a:schemeClr val="accent3"/>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B-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Score!$K$17</c:f>
              <c:numCache>
                <c:formatCode>0.00%</c:formatCode>
                <c:ptCount val="1"/>
                <c:pt idx="0">
                  <c:v>1.1428571428571429E-2</c:v>
                </c:pt>
              </c:numCache>
            </c:numRef>
          </c:val>
          <c:extLst>
            <c:ext xmlns:c16="http://schemas.microsoft.com/office/drawing/2014/chart" uri="{C3380CC4-5D6E-409C-BE32-E72D297353CC}">
              <c16:uniqueId val="{0000000E-9D3B-4D43-B777-E4FEA882EEAB}"/>
            </c:ext>
          </c:extLst>
        </c:ser>
        <c:ser>
          <c:idx val="23"/>
          <c:order val="3"/>
          <c:tx>
            <c:strRef>
              <c:f>Score!$A$25</c:f>
              <c:strCache>
                <c:ptCount val="1"/>
                <c:pt idx="0">
                  <c:v>Transport</c:v>
                </c:pt>
              </c:strCache>
            </c:strRef>
          </c:tx>
          <c:spPr>
            <a:solidFill>
              <a:schemeClr val="accent4"/>
            </a:solidFill>
            <a:ln>
              <a:noFill/>
            </a:ln>
            <a:effectLst/>
          </c:spPr>
          <c:invertIfNegative val="0"/>
          <c:dLbls>
            <c:dLbl>
              <c:idx val="0"/>
              <c:dLblPos val="in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C-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fr-FR"/>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Score!$K$25</c:f>
              <c:numCache>
                <c:formatCode>0.00%</c:formatCode>
                <c:ptCount val="1"/>
                <c:pt idx="0">
                  <c:v>6.6666666666666671E-3</c:v>
                </c:pt>
              </c:numCache>
            </c:numRef>
          </c:val>
          <c:extLst>
            <c:ext xmlns:c16="http://schemas.microsoft.com/office/drawing/2014/chart" uri="{C3380CC4-5D6E-409C-BE32-E72D297353CC}">
              <c16:uniqueId val="{00000017-9D3B-4D43-B777-E4FEA882EEAB}"/>
            </c:ext>
          </c:extLst>
        </c:ser>
        <c:ser>
          <c:idx val="28"/>
          <c:order val="4"/>
          <c:tx>
            <c:strRef>
              <c:f>Score!$A$27</c:f>
              <c:strCache>
                <c:ptCount val="1"/>
                <c:pt idx="0">
                  <c:v>Water</c:v>
                </c:pt>
              </c:strCache>
            </c:strRef>
          </c:tx>
          <c:spPr>
            <a:solidFill>
              <a:schemeClr val="accent5"/>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D-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Score!$K$27</c:f>
              <c:numCache>
                <c:formatCode>0.00%</c:formatCode>
                <c:ptCount val="1"/>
                <c:pt idx="0">
                  <c:v>3.7499999999999999E-2</c:v>
                </c:pt>
              </c:numCache>
            </c:numRef>
          </c:val>
          <c:extLst>
            <c:ext xmlns:c16="http://schemas.microsoft.com/office/drawing/2014/chart" uri="{C3380CC4-5D6E-409C-BE32-E72D297353CC}">
              <c16:uniqueId val="{0000001C-9D3B-4D43-B777-E4FEA882EEAB}"/>
            </c:ext>
          </c:extLst>
        </c:ser>
        <c:ser>
          <c:idx val="32"/>
          <c:order val="5"/>
          <c:tx>
            <c:strRef>
              <c:f>Score!$A$32</c:f>
              <c:strCache>
                <c:ptCount val="1"/>
                <c:pt idx="0">
                  <c:v>Materials</c:v>
                </c:pt>
              </c:strCache>
            </c:strRef>
          </c:tx>
          <c:spPr>
            <a:solidFill>
              <a:schemeClr val="accent6"/>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E-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Score!$K$32</c:f>
              <c:numCache>
                <c:formatCode>0.00%</c:formatCode>
                <c:ptCount val="1"/>
                <c:pt idx="0">
                  <c:v>1.2916666666666667E-2</c:v>
                </c:pt>
              </c:numCache>
            </c:numRef>
          </c:val>
          <c:extLst>
            <c:ext xmlns:c16="http://schemas.microsoft.com/office/drawing/2014/chart" uri="{C3380CC4-5D6E-409C-BE32-E72D297353CC}">
              <c16:uniqueId val="{00000020-9D3B-4D43-B777-E4FEA882EEAB}"/>
            </c:ext>
          </c:extLst>
        </c:ser>
        <c:ser>
          <c:idx val="38"/>
          <c:order val="6"/>
          <c:tx>
            <c:strRef>
              <c:f>Score!$A$37</c:f>
              <c:strCache>
                <c:ptCount val="1"/>
                <c:pt idx="0">
                  <c:v>Waste</c:v>
                </c:pt>
              </c:strCache>
            </c:strRef>
          </c:tx>
          <c:spPr>
            <a:solidFill>
              <a:schemeClr val="tx2"/>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F-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Score!$K$37</c:f>
              <c:numCache>
                <c:formatCode>0.00%</c:formatCode>
                <c:ptCount val="1"/>
                <c:pt idx="0">
                  <c:v>7.7777777777777784E-3</c:v>
                </c:pt>
              </c:numCache>
            </c:numRef>
          </c:val>
          <c:extLst>
            <c:ext xmlns:c16="http://schemas.microsoft.com/office/drawing/2014/chart" uri="{C3380CC4-5D6E-409C-BE32-E72D297353CC}">
              <c16:uniqueId val="{00000026-9D3B-4D43-B777-E4FEA882EEAB}"/>
            </c:ext>
          </c:extLst>
        </c:ser>
        <c:ser>
          <c:idx val="44"/>
          <c:order val="7"/>
          <c:tx>
            <c:strRef>
              <c:f>Score!$A$43</c:f>
              <c:strCache>
                <c:ptCount val="1"/>
                <c:pt idx="0">
                  <c:v>Land Use and ecology</c:v>
                </c:pt>
              </c:strCache>
            </c:strRef>
          </c:tx>
          <c:spPr>
            <a:solidFill>
              <a:schemeClr val="accent2">
                <a:lumMod val="50000"/>
              </a:schemeClr>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70-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Score!$K$43</c:f>
              <c:numCache>
                <c:formatCode>0.00%</c:formatCode>
                <c:ptCount val="1"/>
                <c:pt idx="0">
                  <c:v>7.4999999999999997E-3</c:v>
                </c:pt>
              </c:numCache>
            </c:numRef>
          </c:val>
          <c:extLst>
            <c:ext xmlns:c16="http://schemas.microsoft.com/office/drawing/2014/chart" uri="{C3380CC4-5D6E-409C-BE32-E72D297353CC}">
              <c16:uniqueId val="{0000002C-9D3B-4D43-B777-E4FEA882EEAB}"/>
            </c:ext>
          </c:extLst>
        </c:ser>
        <c:ser>
          <c:idx val="49"/>
          <c:order val="8"/>
          <c:tx>
            <c:strRef>
              <c:f>Score!$A$48</c:f>
              <c:strCache>
                <c:ptCount val="1"/>
                <c:pt idx="0">
                  <c:v>Pollution</c:v>
                </c:pt>
              </c:strCache>
            </c:strRef>
          </c:tx>
          <c:spPr>
            <a:solidFill>
              <a:schemeClr val="accent3">
                <a:lumMod val="50000"/>
              </a:schemeClr>
            </a:solidFill>
            <a:ln>
              <a:noFill/>
            </a:ln>
            <a:effectLst/>
          </c:spPr>
          <c:invertIfNegative val="0"/>
          <c:dLbls>
            <c:dLbl>
              <c:idx val="0"/>
              <c:dLblPos val="in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71-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65000"/>
                      </a:schemeClr>
                    </a:solidFill>
                    <a:latin typeface="+mn-lt"/>
                    <a:ea typeface="+mn-ea"/>
                    <a:cs typeface="+mn-cs"/>
                  </a:defRPr>
                </a:pPr>
                <a:endParaRPr lang="fr-FR"/>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Score!$K$48</c:f>
              <c:numCache>
                <c:formatCode>0.00%</c:formatCode>
                <c:ptCount val="1"/>
                <c:pt idx="0">
                  <c:v>6.6666666666666671E-3</c:v>
                </c:pt>
              </c:numCache>
            </c:numRef>
          </c:val>
          <c:extLst>
            <c:ext xmlns:c16="http://schemas.microsoft.com/office/drawing/2014/chart" uri="{C3380CC4-5D6E-409C-BE32-E72D297353CC}">
              <c16:uniqueId val="{00000031-9D3B-4D43-B777-E4FEA882EEAB}"/>
            </c:ext>
          </c:extLst>
        </c:ser>
        <c:ser>
          <c:idx val="54"/>
          <c:order val="9"/>
          <c:tx>
            <c:strRef>
              <c:f>Score!$A$53</c:f>
              <c:strCache>
                <c:ptCount val="1"/>
                <c:pt idx="0">
                  <c:v>Innovation</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5F-9D3B-4D43-B777-E4FEA882EEAB}"/>
              </c:ext>
            </c:extLst>
          </c:dPt>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F-9D3B-4D43-B777-E4FEA882EEA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Score!$A$2:$A$69</c:f>
              <c:strCache>
                <c:ptCount val="52"/>
                <c:pt idx="0">
                  <c:v>Management</c:v>
                </c:pt>
                <c:pt idx="5">
                  <c:v>Health and Wellbeing</c:v>
                </c:pt>
                <c:pt idx="15">
                  <c:v>Energy</c:v>
                </c:pt>
                <c:pt idx="23">
                  <c:v>Transport</c:v>
                </c:pt>
                <c:pt idx="25">
                  <c:v>Water</c:v>
                </c:pt>
                <c:pt idx="30">
                  <c:v>Materials</c:v>
                </c:pt>
                <c:pt idx="35">
                  <c:v>Waste</c:v>
                </c:pt>
                <c:pt idx="41">
                  <c:v>Land Use and ecology</c:v>
                </c:pt>
                <c:pt idx="46">
                  <c:v>Pollution</c:v>
                </c:pt>
                <c:pt idx="51">
                  <c:v>Innovation</c:v>
                </c:pt>
              </c:strCache>
            </c:strRef>
          </c:cat>
          <c:val>
            <c:numRef>
              <c:f>Score!$K$53</c:f>
              <c:numCache>
                <c:formatCode>0.00%</c:formatCode>
                <c:ptCount val="1"/>
                <c:pt idx="0">
                  <c:v>0.01</c:v>
                </c:pt>
              </c:numCache>
            </c:numRef>
          </c:val>
          <c:extLst>
            <c:ext xmlns:c16="http://schemas.microsoft.com/office/drawing/2014/chart" uri="{C3380CC4-5D6E-409C-BE32-E72D297353CC}">
              <c16:uniqueId val="{00000036-9D3B-4D43-B777-E4FEA882EEAB}"/>
            </c:ext>
          </c:extLst>
        </c:ser>
        <c:dLbls>
          <c:showLegendKey val="0"/>
          <c:showVal val="0"/>
          <c:showCatName val="0"/>
          <c:showSerName val="0"/>
          <c:showPercent val="0"/>
          <c:showBubbleSize val="0"/>
        </c:dLbls>
        <c:gapWidth val="150"/>
        <c:axId val="469636400"/>
        <c:axId val="469636728"/>
      </c:barChart>
      <c:catAx>
        <c:axId val="469636400"/>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9636728"/>
        <c:crosses val="autoZero"/>
        <c:auto val="1"/>
        <c:lblAlgn val="ctr"/>
        <c:lblOffset val="100"/>
        <c:noMultiLvlLbl val="0"/>
      </c:catAx>
      <c:valAx>
        <c:axId val="469636728"/>
        <c:scaling>
          <c:orientation val="minMax"/>
          <c:min val="3.0000000000000009E-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9636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fr-FR" sz="1600" b="1" u="sng"/>
              <a:t>Score de chaque scénario</a:t>
            </a:r>
          </a:p>
        </c:rich>
      </c:tx>
      <c:layout>
        <c:manualLayout>
          <c:xMode val="edge"/>
          <c:yMode val="edge"/>
          <c:x val="0.33923591872389619"/>
          <c:y val="3.2568110946988348E-3"/>
        </c:manualLayout>
      </c:layout>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4385197407518755"/>
          <c:y val="0.1842539594616773"/>
          <c:w val="0.5419537296632152"/>
          <c:h val="0.69439007877892667"/>
        </c:manualLayout>
      </c:layout>
      <c:barChart>
        <c:barDir val="col"/>
        <c:grouping val="stacked"/>
        <c:varyColors val="0"/>
        <c:ser>
          <c:idx val="0"/>
          <c:order val="0"/>
          <c:tx>
            <c:strRef>
              <c:f>Score!$P$3</c:f>
              <c:strCache>
                <c:ptCount val="1"/>
                <c:pt idx="0">
                  <c:v>Management</c:v>
                </c:pt>
              </c:strCache>
            </c:strRef>
          </c:tx>
          <c:spPr>
            <a:solidFill>
              <a:schemeClr val="accent1"/>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Score!$R$3:$T$3</c15:sqref>
                  </c15:fullRef>
                </c:ext>
              </c:extLst>
              <c:f>Score!$R$3:$S$3</c:f>
              <c:numCache>
                <c:formatCode>0.00%</c:formatCode>
                <c:ptCount val="2"/>
                <c:pt idx="0">
                  <c:v>5.8666666666666666E-2</c:v>
                </c:pt>
                <c:pt idx="1">
                  <c:v>8.0666666666666664E-2</c:v>
                </c:pt>
              </c:numCache>
            </c:numRef>
          </c:val>
          <c:extLst>
            <c:ext xmlns:c16="http://schemas.microsoft.com/office/drawing/2014/chart" uri="{C3380CC4-5D6E-409C-BE32-E72D297353CC}">
              <c16:uniqueId val="{00000000-C219-4889-94C4-600544BBB98D}"/>
            </c:ext>
          </c:extLst>
        </c:ser>
        <c:ser>
          <c:idx val="1"/>
          <c:order val="1"/>
          <c:tx>
            <c:strRef>
              <c:f>Score!$P$4</c:f>
              <c:strCache>
                <c:ptCount val="1"/>
                <c:pt idx="0">
                  <c:v>Health and Wellbeing</c:v>
                </c:pt>
              </c:strCache>
            </c:strRef>
          </c:tx>
          <c:spPr>
            <a:solidFill>
              <a:schemeClr val="accent2"/>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Score!$R$4:$T$4</c15:sqref>
                  </c15:fullRef>
                </c:ext>
              </c:extLst>
              <c:f>Score!$R$4:$S$4</c:f>
              <c:numCache>
                <c:formatCode>0.00%</c:formatCode>
                <c:ptCount val="2"/>
                <c:pt idx="0">
                  <c:v>7.8333333333333338E-2</c:v>
                </c:pt>
                <c:pt idx="1">
                  <c:v>0.11</c:v>
                </c:pt>
              </c:numCache>
            </c:numRef>
          </c:val>
          <c:extLst>
            <c:ext xmlns:c16="http://schemas.microsoft.com/office/drawing/2014/chart" uri="{C3380CC4-5D6E-409C-BE32-E72D297353CC}">
              <c16:uniqueId val="{00000001-C219-4889-94C4-600544BBB98D}"/>
            </c:ext>
          </c:extLst>
        </c:ser>
        <c:ser>
          <c:idx val="2"/>
          <c:order val="2"/>
          <c:tx>
            <c:strRef>
              <c:f>Score!$P$5</c:f>
              <c:strCache>
                <c:ptCount val="1"/>
                <c:pt idx="0">
                  <c:v>Energy</c:v>
                </c:pt>
              </c:strCache>
            </c:strRef>
          </c:tx>
          <c:spPr>
            <a:solidFill>
              <a:schemeClr val="accent3"/>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Score!$R$5:$T$5</c15:sqref>
                  </c15:fullRef>
                </c:ext>
              </c:extLst>
              <c:f>Score!$R$5:$S$5</c:f>
              <c:numCache>
                <c:formatCode>0.00%</c:formatCode>
                <c:ptCount val="2"/>
                <c:pt idx="0">
                  <c:v>6.8571428571428575E-2</c:v>
                </c:pt>
                <c:pt idx="1">
                  <c:v>0.12571428571428572</c:v>
                </c:pt>
              </c:numCache>
            </c:numRef>
          </c:val>
          <c:extLst>
            <c:ext xmlns:c16="http://schemas.microsoft.com/office/drawing/2014/chart" uri="{C3380CC4-5D6E-409C-BE32-E72D297353CC}">
              <c16:uniqueId val="{00000002-C219-4889-94C4-600544BBB98D}"/>
            </c:ext>
          </c:extLst>
        </c:ser>
        <c:ser>
          <c:idx val="3"/>
          <c:order val="3"/>
          <c:tx>
            <c:strRef>
              <c:f>Score!$P$6</c:f>
              <c:strCache>
                <c:ptCount val="1"/>
                <c:pt idx="0">
                  <c:v>Transport</c:v>
                </c:pt>
              </c:strCache>
            </c:strRef>
          </c:tx>
          <c:spPr>
            <a:solidFill>
              <a:schemeClr val="accent4"/>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Score!$R$6:$T$6</c15:sqref>
                  </c15:fullRef>
                </c:ext>
              </c:extLst>
              <c:f>Score!$R$6:$S$6</c:f>
              <c:numCache>
                <c:formatCode>0.00%</c:formatCode>
                <c:ptCount val="2"/>
                <c:pt idx="0">
                  <c:v>3.3333333333333333E-2</c:v>
                </c:pt>
                <c:pt idx="1">
                  <c:v>0.04</c:v>
                </c:pt>
              </c:numCache>
            </c:numRef>
          </c:val>
          <c:extLst>
            <c:ext xmlns:c16="http://schemas.microsoft.com/office/drawing/2014/chart" uri="{C3380CC4-5D6E-409C-BE32-E72D297353CC}">
              <c16:uniqueId val="{00000004-C219-4889-94C4-600544BBB98D}"/>
            </c:ext>
          </c:extLst>
        </c:ser>
        <c:ser>
          <c:idx val="4"/>
          <c:order val="4"/>
          <c:tx>
            <c:strRef>
              <c:f>Score!$P$7</c:f>
              <c:strCache>
                <c:ptCount val="1"/>
                <c:pt idx="0">
                  <c:v>Water</c:v>
                </c:pt>
              </c:strCache>
            </c:strRef>
          </c:tx>
          <c:spPr>
            <a:solidFill>
              <a:schemeClr val="accent5"/>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Score!$R$7:$T$7</c15:sqref>
                  </c15:fullRef>
                </c:ext>
              </c:extLst>
              <c:f>Score!$R$7:$S$7</c:f>
              <c:numCache>
                <c:formatCode>0.00%</c:formatCode>
                <c:ptCount val="2"/>
                <c:pt idx="0">
                  <c:v>3.7499999999999999E-2</c:v>
                </c:pt>
                <c:pt idx="1">
                  <c:v>3.7499999999999999E-2</c:v>
                </c:pt>
              </c:numCache>
            </c:numRef>
          </c:val>
          <c:extLst>
            <c:ext xmlns:c16="http://schemas.microsoft.com/office/drawing/2014/chart" uri="{C3380CC4-5D6E-409C-BE32-E72D297353CC}">
              <c16:uniqueId val="{00000005-C219-4889-94C4-600544BBB98D}"/>
            </c:ext>
          </c:extLst>
        </c:ser>
        <c:ser>
          <c:idx val="5"/>
          <c:order val="5"/>
          <c:tx>
            <c:strRef>
              <c:f>Score!$P$8</c:f>
              <c:strCache>
                <c:ptCount val="1"/>
                <c:pt idx="0">
                  <c:v>Materials</c:v>
                </c:pt>
              </c:strCache>
            </c:strRef>
          </c:tx>
          <c:spPr>
            <a:solidFill>
              <a:schemeClr val="accent6"/>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Score!$R$8:$T$8</c15:sqref>
                  </c15:fullRef>
                </c:ext>
              </c:extLst>
              <c:f>Score!$R$8:$S$8</c:f>
              <c:numCache>
                <c:formatCode>0.00%</c:formatCode>
                <c:ptCount val="2"/>
                <c:pt idx="0">
                  <c:v>5.1666666666666666E-2</c:v>
                </c:pt>
                <c:pt idx="1">
                  <c:v>6.4583333333333326E-2</c:v>
                </c:pt>
              </c:numCache>
            </c:numRef>
          </c:val>
          <c:extLst>
            <c:ext xmlns:c16="http://schemas.microsoft.com/office/drawing/2014/chart" uri="{C3380CC4-5D6E-409C-BE32-E72D297353CC}">
              <c16:uniqueId val="{00000006-C219-4889-94C4-600544BBB98D}"/>
            </c:ext>
          </c:extLst>
        </c:ser>
        <c:ser>
          <c:idx val="6"/>
          <c:order val="6"/>
          <c:tx>
            <c:strRef>
              <c:f>Score!$P$9</c:f>
              <c:strCache>
                <c:ptCount val="1"/>
                <c:pt idx="0">
                  <c:v>Waste</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Score!$R$9:$T$9</c15:sqref>
                  </c15:fullRef>
                </c:ext>
              </c:extLst>
              <c:f>Score!$R$9:$S$9</c:f>
              <c:numCache>
                <c:formatCode>0.00%</c:formatCode>
                <c:ptCount val="2"/>
                <c:pt idx="0">
                  <c:v>3.888888888888889E-2</c:v>
                </c:pt>
                <c:pt idx="1">
                  <c:v>3.888888888888889E-2</c:v>
                </c:pt>
              </c:numCache>
            </c:numRef>
          </c:val>
          <c:extLst>
            <c:ext xmlns:c16="http://schemas.microsoft.com/office/drawing/2014/chart" uri="{C3380CC4-5D6E-409C-BE32-E72D297353CC}">
              <c16:uniqueId val="{00000007-C219-4889-94C4-600544BBB98D}"/>
            </c:ext>
          </c:extLst>
        </c:ser>
        <c:ser>
          <c:idx val="7"/>
          <c:order val="7"/>
          <c:tx>
            <c:strRef>
              <c:f>Score!$P$10</c:f>
              <c:strCache>
                <c:ptCount val="1"/>
                <c:pt idx="0">
                  <c:v>Land Use and ecology</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Score!$R$10:$T$10</c15:sqref>
                  </c15:fullRef>
                </c:ext>
              </c:extLst>
              <c:f>Score!$R$10:$S$10</c:f>
              <c:numCache>
                <c:formatCode>0.00%</c:formatCode>
                <c:ptCount val="2"/>
                <c:pt idx="0">
                  <c:v>7.4999999999999997E-2</c:v>
                </c:pt>
                <c:pt idx="1">
                  <c:v>8.249999999999999E-2</c:v>
                </c:pt>
              </c:numCache>
            </c:numRef>
          </c:val>
          <c:extLst>
            <c:ext xmlns:c16="http://schemas.microsoft.com/office/drawing/2014/chart" uri="{C3380CC4-5D6E-409C-BE32-E72D297353CC}">
              <c16:uniqueId val="{00000008-C219-4889-94C4-600544BBB98D}"/>
            </c:ext>
          </c:extLst>
        </c:ser>
        <c:ser>
          <c:idx val="8"/>
          <c:order val="8"/>
          <c:tx>
            <c:strRef>
              <c:f>Score!$P$11</c:f>
              <c:strCache>
                <c:ptCount val="1"/>
                <c:pt idx="0">
                  <c:v>Pollution</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Score!$R$11:$T$11</c15:sqref>
                  </c15:fullRef>
                </c:ext>
              </c:extLst>
              <c:f>Score!$R$11:$S$11</c:f>
              <c:numCache>
                <c:formatCode>0.00%</c:formatCode>
                <c:ptCount val="2"/>
                <c:pt idx="0">
                  <c:v>0.02</c:v>
                </c:pt>
                <c:pt idx="1">
                  <c:v>0.02</c:v>
                </c:pt>
              </c:numCache>
            </c:numRef>
          </c:val>
          <c:extLst>
            <c:ext xmlns:c16="http://schemas.microsoft.com/office/drawing/2014/chart" uri="{C3380CC4-5D6E-409C-BE32-E72D297353CC}">
              <c16:uniqueId val="{00000009-C219-4889-94C4-600544BBB98D}"/>
            </c:ext>
          </c:extLst>
        </c:ser>
        <c:ser>
          <c:idx val="9"/>
          <c:order val="9"/>
          <c:tx>
            <c:strRef>
              <c:f>Score!$P$12</c:f>
              <c:strCache>
                <c:ptCount val="1"/>
                <c:pt idx="0">
                  <c:v>Innovation</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Score!$R$2:$T$2</c15:sqref>
                  </c15:fullRef>
                </c:ext>
              </c:extLst>
              <c:f>Score!$R$2:$S$2</c:f>
              <c:strCache>
                <c:ptCount val="2"/>
                <c:pt idx="0">
                  <c:v>Scénario 1</c:v>
                </c:pt>
                <c:pt idx="1">
                  <c:v>Scénario 2</c:v>
                </c:pt>
              </c:strCache>
            </c:strRef>
          </c:cat>
          <c:val>
            <c:numRef>
              <c:extLst>
                <c:ext xmlns:c15="http://schemas.microsoft.com/office/drawing/2012/chart" uri="{02D57815-91ED-43cb-92C2-25804820EDAC}">
                  <c15:fullRef>
                    <c15:sqref>Score!$R$12:$T$12</c15:sqref>
                  </c15:fullRef>
                </c:ext>
              </c:extLst>
              <c:f>Score!$R$12:$S$12</c:f>
              <c:numCache>
                <c:formatCode>0.00%</c:formatCode>
                <c:ptCount val="2"/>
                <c:pt idx="0">
                  <c:v>0.01</c:v>
                </c:pt>
                <c:pt idx="1">
                  <c:v>0.01</c:v>
                </c:pt>
              </c:numCache>
            </c:numRef>
          </c:val>
          <c:extLst>
            <c:ext xmlns:c16="http://schemas.microsoft.com/office/drawing/2014/chart" uri="{C3380CC4-5D6E-409C-BE32-E72D297353CC}">
              <c16:uniqueId val="{0000000A-C219-4889-94C4-600544BBB98D}"/>
            </c:ext>
          </c:extLst>
        </c:ser>
        <c:dLbls>
          <c:showLegendKey val="0"/>
          <c:showVal val="0"/>
          <c:showCatName val="0"/>
          <c:showSerName val="0"/>
          <c:showPercent val="0"/>
          <c:showBubbleSize val="0"/>
        </c:dLbls>
        <c:gapWidth val="150"/>
        <c:overlap val="100"/>
        <c:axId val="106068064"/>
        <c:axId val="106070944"/>
      </c:barChart>
      <c:lineChart>
        <c:grouping val="standard"/>
        <c:varyColors val="0"/>
        <c:ser>
          <c:idx val="10"/>
          <c:order val="10"/>
          <c:tx>
            <c:strRef>
              <c:f>Score!$Q$19</c:f>
              <c:strCache>
                <c:ptCount val="1"/>
                <c:pt idx="0">
                  <c:v>&lt;-Good-&gt;</c:v>
                </c:pt>
              </c:strCache>
            </c:strRef>
          </c:tx>
          <c:spPr>
            <a:ln w="28575" cap="rnd">
              <a:solidFill>
                <a:schemeClr val="accent3">
                  <a:lumMod val="60000"/>
                  <a:lumOff val="40000"/>
                </a:schemeClr>
              </a:solidFill>
              <a:prstDash val="sysDash"/>
              <a:round/>
            </a:ln>
            <a:effectLst/>
          </c:spPr>
          <c:marker>
            <c:symbol val="none"/>
          </c:marker>
          <c:cat>
            <c:strLit>
              <c:ptCount val="2"/>
              <c:pt idx="0">
                <c:v>Scénario 1</c:v>
              </c:pt>
              <c:pt idx="1">
                <c:v>Scénario 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Score!$R$19:$T$19</c15:sqref>
                  </c15:fullRef>
                </c:ext>
              </c:extLst>
              <c:f>Score!$R$19:$S$19</c:f>
              <c:numCache>
                <c:formatCode>0.00%</c:formatCode>
                <c:ptCount val="2"/>
                <c:pt idx="0">
                  <c:v>0.4</c:v>
                </c:pt>
                <c:pt idx="1">
                  <c:v>0.4</c:v>
                </c:pt>
              </c:numCache>
            </c:numRef>
          </c:val>
          <c:smooth val="0"/>
          <c:extLst>
            <c:ext xmlns:c16="http://schemas.microsoft.com/office/drawing/2014/chart" uri="{C3380CC4-5D6E-409C-BE32-E72D297353CC}">
              <c16:uniqueId val="{0000000B-C219-4889-94C4-600544BBB98D}"/>
            </c:ext>
          </c:extLst>
        </c:ser>
        <c:ser>
          <c:idx val="11"/>
          <c:order val="11"/>
          <c:tx>
            <c:strRef>
              <c:f>Score!$Q$20</c:f>
              <c:strCache>
                <c:ptCount val="1"/>
                <c:pt idx="0">
                  <c:v>&lt;-Very Good-&gt;</c:v>
                </c:pt>
              </c:strCache>
            </c:strRef>
          </c:tx>
          <c:spPr>
            <a:ln w="28575" cap="rnd">
              <a:solidFill>
                <a:srgbClr val="00B050"/>
              </a:solidFill>
              <a:prstDash val="sysDash"/>
              <a:round/>
            </a:ln>
            <a:effectLst/>
          </c:spPr>
          <c:marker>
            <c:symbol val="none"/>
          </c:marker>
          <c:cat>
            <c:strLit>
              <c:ptCount val="2"/>
              <c:pt idx="0">
                <c:v>Scénario 1</c:v>
              </c:pt>
              <c:pt idx="1">
                <c:v>Scénario 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Score!$R$20:$T$20</c15:sqref>
                  </c15:fullRef>
                </c:ext>
              </c:extLst>
              <c:f>Score!$R$20:$S$20</c:f>
              <c:numCache>
                <c:formatCode>0.00%</c:formatCode>
                <c:ptCount val="2"/>
                <c:pt idx="0">
                  <c:v>0.55000000000000004</c:v>
                </c:pt>
                <c:pt idx="1">
                  <c:v>0.55000000000000004</c:v>
                </c:pt>
              </c:numCache>
            </c:numRef>
          </c:val>
          <c:smooth val="0"/>
          <c:extLst>
            <c:ext xmlns:c16="http://schemas.microsoft.com/office/drawing/2014/chart" uri="{C3380CC4-5D6E-409C-BE32-E72D297353CC}">
              <c16:uniqueId val="{0000000C-C219-4889-94C4-600544BBB98D}"/>
            </c:ext>
          </c:extLst>
        </c:ser>
        <c:ser>
          <c:idx val="12"/>
          <c:order val="12"/>
          <c:tx>
            <c:strRef>
              <c:f>Score!$Q$21</c:f>
              <c:strCache>
                <c:ptCount val="1"/>
                <c:pt idx="0">
                  <c:v>&lt;-Excellent-&gt;</c:v>
                </c:pt>
              </c:strCache>
              <c:extLst xmlns:c15="http://schemas.microsoft.com/office/drawing/2012/chart"/>
            </c:strRef>
          </c:tx>
          <c:spPr>
            <a:ln w="28575" cap="rnd">
              <a:solidFill>
                <a:srgbClr val="00B050"/>
              </a:solidFill>
              <a:prstDash val="sysDash"/>
              <a:round/>
            </a:ln>
            <a:effectLst/>
          </c:spPr>
          <c:marker>
            <c:symbol val="none"/>
          </c:marker>
          <c:cat>
            <c:strLit>
              <c:ptCount val="2"/>
              <c:pt idx="0">
                <c:v>Scénario 1</c:v>
              </c:pt>
              <c:pt idx="1">
                <c:v>Scénario 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Score!$R$21:$T$21</c15:sqref>
                  </c15:fullRef>
                </c:ext>
              </c:extLst>
              <c:f>Score!$R$21:$S$21</c:f>
              <c:numCache>
                <c:formatCode>0.00%</c:formatCode>
                <c:ptCount val="2"/>
                <c:pt idx="0">
                  <c:v>0.7</c:v>
                </c:pt>
                <c:pt idx="1">
                  <c:v>0.7</c:v>
                </c:pt>
              </c:numCache>
            </c:numRef>
          </c:val>
          <c:smooth val="0"/>
          <c:extLst xmlns:c15="http://schemas.microsoft.com/office/drawing/2012/chart">
            <c:ext xmlns:c16="http://schemas.microsoft.com/office/drawing/2014/chart" uri="{C3380CC4-5D6E-409C-BE32-E72D297353CC}">
              <c16:uniqueId val="{0000000D-C219-4889-94C4-600544BBB98D}"/>
            </c:ext>
          </c:extLst>
        </c:ser>
        <c:dLbls>
          <c:showLegendKey val="0"/>
          <c:showVal val="0"/>
          <c:showCatName val="0"/>
          <c:showSerName val="0"/>
          <c:showPercent val="0"/>
          <c:showBubbleSize val="0"/>
        </c:dLbls>
        <c:marker val="1"/>
        <c:smooth val="0"/>
        <c:axId val="106068064"/>
        <c:axId val="106070944"/>
        <c:extLst/>
      </c:lineChart>
      <c:catAx>
        <c:axId val="1060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06070944"/>
        <c:crosses val="autoZero"/>
        <c:auto val="1"/>
        <c:lblAlgn val="ctr"/>
        <c:lblOffset val="100"/>
        <c:noMultiLvlLbl val="0"/>
      </c:catAx>
      <c:valAx>
        <c:axId val="1060709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106068064"/>
        <c:crosses val="autoZero"/>
        <c:crossBetween val="between"/>
      </c:valAx>
      <c:spPr>
        <a:noFill/>
        <a:ln>
          <a:noFill/>
        </a:ln>
        <a:effectLst/>
      </c:spPr>
    </c:plotArea>
    <c:legend>
      <c:legendPos val="l"/>
      <c:layout>
        <c:manualLayout>
          <c:xMode val="edge"/>
          <c:yMode val="edge"/>
          <c:x val="1.0650847031021681E-2"/>
          <c:y val="4.0756841373425903E-2"/>
          <c:w val="0.28800732718539596"/>
          <c:h val="0.9340737657702400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fr-FR" sz="1600" b="1" u="sng"/>
              <a:t>Part de chaque critère</a:t>
            </a:r>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33186762186604096"/>
          <c:y val="0.22968530376163065"/>
          <c:w val="0.36378988567232479"/>
          <c:h val="0.55359200293533173"/>
        </c:manualLayout>
      </c:layout>
      <c:radarChart>
        <c:radarStyle val="marker"/>
        <c:varyColors val="0"/>
        <c:ser>
          <c:idx val="0"/>
          <c:order val="0"/>
          <c:tx>
            <c:strRef>
              <c:f>Score!$R$15</c:f>
              <c:strCache>
                <c:ptCount val="1"/>
                <c:pt idx="0">
                  <c:v>GOOD</c:v>
                </c:pt>
              </c:strCache>
            </c:strRef>
          </c:tx>
          <c:spPr>
            <a:ln w="28575" cap="rnd">
              <a:solidFill>
                <a:schemeClr val="accent3">
                  <a:lumMod val="60000"/>
                  <a:lumOff val="40000"/>
                </a:schemeClr>
              </a:solidFill>
              <a:round/>
            </a:ln>
            <a:effectLst/>
          </c:spPr>
          <c:marker>
            <c:symbol val="none"/>
          </c:marker>
          <c:cat>
            <c:strRef>
              <c:f>Score!$P$3:$P$12</c:f>
              <c:strCache>
                <c:ptCount val="10"/>
                <c:pt idx="0">
                  <c:v>Management</c:v>
                </c:pt>
                <c:pt idx="1">
                  <c:v>Health and Wellbeing</c:v>
                </c:pt>
                <c:pt idx="2">
                  <c:v>Energy</c:v>
                </c:pt>
                <c:pt idx="3">
                  <c:v>Transport</c:v>
                </c:pt>
                <c:pt idx="4">
                  <c:v>Water</c:v>
                </c:pt>
                <c:pt idx="5">
                  <c:v>Materials</c:v>
                </c:pt>
                <c:pt idx="6">
                  <c:v>Waste</c:v>
                </c:pt>
                <c:pt idx="7">
                  <c:v>Land Use and ecology</c:v>
                </c:pt>
                <c:pt idx="8">
                  <c:v>Pollution</c:v>
                </c:pt>
                <c:pt idx="9">
                  <c:v>Innovation</c:v>
                </c:pt>
              </c:strCache>
            </c:strRef>
          </c:cat>
          <c:val>
            <c:numRef>
              <c:f>Score!$V$3:$V$12</c:f>
              <c:numCache>
                <c:formatCode>0.00%</c:formatCode>
                <c:ptCount val="10"/>
                <c:pt idx="0">
                  <c:v>0.53333333333333333</c:v>
                </c:pt>
                <c:pt idx="1">
                  <c:v>0.41228070175438597</c:v>
                </c:pt>
                <c:pt idx="2">
                  <c:v>0.4285714285714286</c:v>
                </c:pt>
                <c:pt idx="3">
                  <c:v>0.41666666666666663</c:v>
                </c:pt>
                <c:pt idx="4">
                  <c:v>0.5</c:v>
                </c:pt>
                <c:pt idx="5">
                  <c:v>0.33333333333333331</c:v>
                </c:pt>
                <c:pt idx="6">
                  <c:v>0.55555555555555547</c:v>
                </c:pt>
                <c:pt idx="7">
                  <c:v>0.7142857142857143</c:v>
                </c:pt>
                <c:pt idx="8">
                  <c:v>0.5</c:v>
                </c:pt>
                <c:pt idx="9">
                  <c:v>9.9999999999999992E-2</c:v>
                </c:pt>
              </c:numCache>
            </c:numRef>
          </c:val>
          <c:extLst>
            <c:ext xmlns:c16="http://schemas.microsoft.com/office/drawing/2014/chart" uri="{C3380CC4-5D6E-409C-BE32-E72D297353CC}">
              <c16:uniqueId val="{00000000-5CE2-4667-B782-236883F8C015}"/>
            </c:ext>
          </c:extLst>
        </c:ser>
        <c:ser>
          <c:idx val="1"/>
          <c:order val="1"/>
          <c:tx>
            <c:strRef>
              <c:f>Score!$S$15</c:f>
              <c:strCache>
                <c:ptCount val="1"/>
                <c:pt idx="0">
                  <c:v>VERY GOOD</c:v>
                </c:pt>
              </c:strCache>
            </c:strRef>
          </c:tx>
          <c:spPr>
            <a:ln w="28575" cap="rnd">
              <a:solidFill>
                <a:schemeClr val="accent3">
                  <a:lumMod val="75000"/>
                </a:schemeClr>
              </a:solidFill>
              <a:round/>
            </a:ln>
            <a:effectLst/>
          </c:spPr>
          <c:marker>
            <c:symbol val="none"/>
          </c:marker>
          <c:cat>
            <c:strRef>
              <c:f>Score!$P$3:$P$12</c:f>
              <c:strCache>
                <c:ptCount val="10"/>
                <c:pt idx="0">
                  <c:v>Management</c:v>
                </c:pt>
                <c:pt idx="1">
                  <c:v>Health and Wellbeing</c:v>
                </c:pt>
                <c:pt idx="2">
                  <c:v>Energy</c:v>
                </c:pt>
                <c:pt idx="3">
                  <c:v>Transport</c:v>
                </c:pt>
                <c:pt idx="4">
                  <c:v>Water</c:v>
                </c:pt>
                <c:pt idx="5">
                  <c:v>Materials</c:v>
                </c:pt>
                <c:pt idx="6">
                  <c:v>Waste</c:v>
                </c:pt>
                <c:pt idx="7">
                  <c:v>Land Use and ecology</c:v>
                </c:pt>
                <c:pt idx="8">
                  <c:v>Pollution</c:v>
                </c:pt>
                <c:pt idx="9">
                  <c:v>Innovation</c:v>
                </c:pt>
              </c:strCache>
            </c:strRef>
          </c:cat>
          <c:val>
            <c:numRef>
              <c:f>Score!$W$3:$W$12</c:f>
              <c:numCache>
                <c:formatCode>0.00%</c:formatCode>
                <c:ptCount val="10"/>
                <c:pt idx="0">
                  <c:v>0.73333333333333328</c:v>
                </c:pt>
                <c:pt idx="1">
                  <c:v>0.57894736842105265</c:v>
                </c:pt>
                <c:pt idx="2">
                  <c:v>0.7857142857142857</c:v>
                </c:pt>
                <c:pt idx="3">
                  <c:v>0.5</c:v>
                </c:pt>
                <c:pt idx="4">
                  <c:v>0.5</c:v>
                </c:pt>
                <c:pt idx="5">
                  <c:v>0.41666666666666663</c:v>
                </c:pt>
                <c:pt idx="6">
                  <c:v>0.55555555555555547</c:v>
                </c:pt>
                <c:pt idx="7">
                  <c:v>0.7857142857142857</c:v>
                </c:pt>
                <c:pt idx="8">
                  <c:v>0.5</c:v>
                </c:pt>
                <c:pt idx="9">
                  <c:v>9.9999999999999992E-2</c:v>
                </c:pt>
              </c:numCache>
            </c:numRef>
          </c:val>
          <c:extLst>
            <c:ext xmlns:c16="http://schemas.microsoft.com/office/drawing/2014/chart" uri="{C3380CC4-5D6E-409C-BE32-E72D297353CC}">
              <c16:uniqueId val="{00000001-5CE2-4667-B782-236883F8C015}"/>
            </c:ext>
          </c:extLst>
        </c:ser>
        <c:dLbls>
          <c:showLegendKey val="0"/>
          <c:showVal val="0"/>
          <c:showCatName val="0"/>
          <c:showSerName val="0"/>
          <c:showPercent val="0"/>
          <c:showBubbleSize val="0"/>
        </c:dLbls>
        <c:axId val="1682232448"/>
        <c:axId val="1682233888"/>
        <c:extLst>
          <c:ext xmlns:c15="http://schemas.microsoft.com/office/drawing/2012/chart" uri="{02D57815-91ED-43cb-92C2-25804820EDAC}">
            <c15:filteredRadarSeries>
              <c15:ser>
                <c:idx val="2"/>
                <c:order val="2"/>
                <c:tx>
                  <c:strRef>
                    <c:extLst>
                      <c:ext uri="{02D57815-91ED-43cb-92C2-25804820EDAC}">
                        <c15:formulaRef>
                          <c15:sqref>Score!$X$2</c15:sqref>
                        </c15:formulaRef>
                      </c:ext>
                    </c:extLst>
                    <c:strCache>
                      <c:ptCount val="1"/>
                      <c:pt idx="0">
                        <c:v>Scénario 3</c:v>
                      </c:pt>
                    </c:strCache>
                  </c:strRef>
                </c:tx>
                <c:spPr>
                  <a:ln w="28575" cap="rnd">
                    <a:solidFill>
                      <a:schemeClr val="accent3"/>
                    </a:solidFill>
                    <a:round/>
                  </a:ln>
                  <a:effectLst/>
                </c:spPr>
                <c:marker>
                  <c:symbol val="none"/>
                </c:marker>
                <c:cat>
                  <c:strRef>
                    <c:extLst>
                      <c:ext uri="{02D57815-91ED-43cb-92C2-25804820EDAC}">
                        <c15:formulaRef>
                          <c15:sqref>Score!$P$3:$P$12</c15:sqref>
                        </c15:formulaRef>
                      </c:ext>
                    </c:extLst>
                    <c:strCache>
                      <c:ptCount val="10"/>
                      <c:pt idx="0">
                        <c:v>Management</c:v>
                      </c:pt>
                      <c:pt idx="1">
                        <c:v>Health and Wellbeing</c:v>
                      </c:pt>
                      <c:pt idx="2">
                        <c:v>Energy</c:v>
                      </c:pt>
                      <c:pt idx="3">
                        <c:v>Transport</c:v>
                      </c:pt>
                      <c:pt idx="4">
                        <c:v>Water</c:v>
                      </c:pt>
                      <c:pt idx="5">
                        <c:v>Materials</c:v>
                      </c:pt>
                      <c:pt idx="6">
                        <c:v>Waste</c:v>
                      </c:pt>
                      <c:pt idx="7">
                        <c:v>Land Use and ecology</c:v>
                      </c:pt>
                      <c:pt idx="8">
                        <c:v>Pollution</c:v>
                      </c:pt>
                      <c:pt idx="9">
                        <c:v>Innovation</c:v>
                      </c:pt>
                    </c:strCache>
                  </c:strRef>
                </c:cat>
                <c:val>
                  <c:numRef>
                    <c:extLst>
                      <c:ext uri="{02D57815-91ED-43cb-92C2-25804820EDAC}">
                        <c15:formulaRef>
                          <c15:sqref>Score!$X$3:$X$12</c15:sqref>
                        </c15:formulaRef>
                      </c:ext>
                    </c:extLst>
                    <c:numCache>
                      <c:formatCode>0.00%</c:formatCode>
                      <c:ptCount val="10"/>
                      <c:pt idx="0">
                        <c:v>1.2</c:v>
                      </c:pt>
                      <c:pt idx="1">
                        <c:v>2.7456140350877196</c:v>
                      </c:pt>
                      <c:pt idx="2">
                        <c:v>2.2857142857142856</c:v>
                      </c:pt>
                      <c:pt idx="3">
                        <c:v>0.83333333333333326</c:v>
                      </c:pt>
                      <c:pt idx="4">
                        <c:v>4</c:v>
                      </c:pt>
                      <c:pt idx="5">
                        <c:v>0.58333333333333337</c:v>
                      </c:pt>
                      <c:pt idx="6">
                        <c:v>0.55555555555555547</c:v>
                      </c:pt>
                      <c:pt idx="7">
                        <c:v>0.6428571428571429</c:v>
                      </c:pt>
                      <c:pt idx="8">
                        <c:v>1.6666666666666665</c:v>
                      </c:pt>
                      <c:pt idx="9">
                        <c:v>1</c:v>
                      </c:pt>
                    </c:numCache>
                  </c:numRef>
                </c:val>
                <c:extLst>
                  <c:ext xmlns:c16="http://schemas.microsoft.com/office/drawing/2014/chart" uri="{C3380CC4-5D6E-409C-BE32-E72D297353CC}">
                    <c16:uniqueId val="{00000002-5CE2-4667-B782-236883F8C015}"/>
                  </c:ext>
                </c:extLst>
              </c15:ser>
            </c15:filteredRadarSeries>
          </c:ext>
        </c:extLst>
      </c:radarChart>
      <c:catAx>
        <c:axId val="168223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1682233888"/>
        <c:crosses val="autoZero"/>
        <c:auto val="1"/>
        <c:lblAlgn val="ctr"/>
        <c:lblOffset val="100"/>
        <c:noMultiLvlLbl val="0"/>
      </c:catAx>
      <c:valAx>
        <c:axId val="16822338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82232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14</xdr:col>
      <xdr:colOff>724347</xdr:colOff>
      <xdr:row>66</xdr:row>
      <xdr:rowOff>98516</xdr:rowOff>
    </xdr:from>
    <xdr:to>
      <xdr:col>19</xdr:col>
      <xdr:colOff>1045094</xdr:colOff>
      <xdr:row>96</xdr:row>
      <xdr:rowOff>56510</xdr:rowOff>
    </xdr:to>
    <xdr:graphicFrame macro="">
      <xdr:nvGraphicFramePr>
        <xdr:cNvPr id="11" name="Graphique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72</xdr:row>
      <xdr:rowOff>41069</xdr:rowOff>
    </xdr:from>
    <xdr:to>
      <xdr:col>14</xdr:col>
      <xdr:colOff>0</xdr:colOff>
      <xdr:row>90</xdr:row>
      <xdr:rowOff>67369</xdr:rowOff>
    </xdr:to>
    <xdr:graphicFrame macro="">
      <xdr:nvGraphicFramePr>
        <xdr:cNvPr id="9" name="Graphique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96178</xdr:colOff>
      <xdr:row>23</xdr:row>
      <xdr:rowOff>97731</xdr:rowOff>
    </xdr:from>
    <xdr:to>
      <xdr:col>20</xdr:col>
      <xdr:colOff>664284</xdr:colOff>
      <xdr:row>44</xdr:row>
      <xdr:rowOff>11206</xdr:rowOff>
    </xdr:to>
    <xdr:graphicFrame macro="">
      <xdr:nvGraphicFramePr>
        <xdr:cNvPr id="5" name="Graphique 4">
          <a:extLst>
            <a:ext uri="{FF2B5EF4-FFF2-40B4-BE49-F238E27FC236}">
              <a16:creationId xmlns:a16="http://schemas.microsoft.com/office/drawing/2014/main" id="{83813B2E-6AB7-F002-EFE7-37B15E135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810969</xdr:colOff>
      <xdr:row>23</xdr:row>
      <xdr:rowOff>97268</xdr:rowOff>
    </xdr:from>
    <xdr:to>
      <xdr:col>25</xdr:col>
      <xdr:colOff>974912</xdr:colOff>
      <xdr:row>44</xdr:row>
      <xdr:rowOff>13111</xdr:rowOff>
    </xdr:to>
    <xdr:graphicFrame macro="">
      <xdr:nvGraphicFramePr>
        <xdr:cNvPr id="6" name="Graphique 5">
          <a:extLst>
            <a:ext uri="{FF2B5EF4-FFF2-40B4-BE49-F238E27FC236}">
              <a16:creationId xmlns:a16="http://schemas.microsoft.com/office/drawing/2014/main" id="{03D5EC66-A164-319A-DF21-8BFEB55FA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au5" displayName="Tableau5" ref="F3:N18" totalsRowCount="1" headerRowDxfId="14" dataDxfId="12" headerRowBorderDxfId="13" tableBorderDxfId="11">
  <autoFilter ref="F3:N17" xr:uid="{00000000-0009-0000-0100-000005000000}"/>
  <tableColumns count="9">
    <tableColumn id="1" xr3:uid="{00000000-0010-0000-0000-000001000000}" name="Crédit" dataDxfId="10"/>
    <tableColumn id="2" xr3:uid="{00000000-0010-0000-0000-000002000000}" name="Action" dataDxfId="9"/>
    <tableColumn id="3" xr3:uid="{00000000-0010-0000-0000-000003000000}" name="Critère" dataDxfId="8"/>
    <tableColumn id="7" xr3:uid="{00000000-0010-0000-0000-000007000000}" name="Estimation du nombre de points atteignables" totalsRowFunction="sum" dataDxfId="7"/>
    <tableColumn id="8" xr3:uid="{00000000-0010-0000-0000-000008000000}" name="Nombre de points atteignables" totalsRowFunction="sum" dataDxfId="6" dataCellStyle="Pourcentage"/>
    <tableColumn id="9" xr3:uid="{00000000-0010-0000-0000-000009000000}" name="Coût H.T. (estimation)" dataDxfId="5" dataCellStyle="Monétaire"/>
    <tableColumn id="10" xr3:uid="{00000000-0010-0000-0000-00000A000000}" name="Commentaire" dataDxfId="4"/>
    <tableColumn id="13" xr3:uid="{00000000-0010-0000-0000-00000D000000}" name="Responsable" dataDxfId="3"/>
    <tableColumn id="11" xr3:uid="{00000000-0010-0000-0000-00000B000000}" name="mission sous traitée" dataDxfId="2"/>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N142"/>
  <sheetViews>
    <sheetView tabSelected="1" zoomScale="60" zoomScaleNormal="60" zoomScaleSheetLayoutView="80" workbookViewId="0">
      <pane xSplit="3" ySplit="1" topLeftCell="D72" activePane="bottomRight" state="frozen"/>
      <selection pane="topRight" activeCell="D1" sqref="D1"/>
      <selection pane="bottomLeft" activeCell="A2" sqref="A2"/>
      <selection pane="bottomRight" activeCell="G79" sqref="G79"/>
    </sheetView>
  </sheetViews>
  <sheetFormatPr baseColWidth="10" defaultRowHeight="15" x14ac:dyDescent="0.25"/>
  <cols>
    <col min="1" max="1" width="9.7109375" bestFit="1" customWidth="1"/>
    <col min="2" max="2" width="27.7109375" customWidth="1"/>
    <col min="3" max="3" width="8.85546875" customWidth="1"/>
    <col min="4" max="4" width="12.85546875" customWidth="1"/>
    <col min="5" max="5" width="20" customWidth="1"/>
    <col min="6" max="6" width="14.5703125" customWidth="1"/>
    <col min="7" max="8" width="10.85546875" customWidth="1"/>
    <col min="9" max="9" width="10.85546875" hidden="1" customWidth="1"/>
    <col min="10" max="10" width="26.85546875" style="2" customWidth="1"/>
    <col min="11" max="11" width="133.28515625" customWidth="1"/>
    <col min="12" max="12" width="102.7109375" customWidth="1"/>
    <col min="13" max="13" width="17.140625" style="1" customWidth="1"/>
    <col min="14" max="14" width="48.140625" customWidth="1"/>
  </cols>
  <sheetData>
    <row r="1" spans="1:14" ht="37.5" customHeight="1" thickBot="1" x14ac:dyDescent="0.3">
      <c r="A1" s="109" t="s">
        <v>71</v>
      </c>
      <c r="B1" s="110"/>
      <c r="C1" s="55" t="s">
        <v>72</v>
      </c>
      <c r="D1" s="55" t="s">
        <v>341</v>
      </c>
      <c r="E1" s="55" t="s">
        <v>70</v>
      </c>
      <c r="F1" s="55" t="s">
        <v>342</v>
      </c>
      <c r="G1" s="55" t="s">
        <v>223</v>
      </c>
      <c r="H1" s="55" t="s">
        <v>224</v>
      </c>
      <c r="I1" s="55" t="s">
        <v>225</v>
      </c>
      <c r="J1" s="55"/>
      <c r="K1" s="55" t="s">
        <v>486</v>
      </c>
      <c r="L1" s="55" t="s">
        <v>487</v>
      </c>
      <c r="M1" s="55" t="s">
        <v>185</v>
      </c>
      <c r="N1" s="55" t="s">
        <v>73</v>
      </c>
    </row>
    <row r="2" spans="1:14" ht="409.5" x14ac:dyDescent="0.25">
      <c r="A2" s="23" t="s">
        <v>13</v>
      </c>
      <c r="B2" s="24" t="s">
        <v>229</v>
      </c>
      <c r="C2" s="25" t="s">
        <v>52</v>
      </c>
      <c r="D2" s="13" t="s">
        <v>0</v>
      </c>
      <c r="E2" s="12" t="s">
        <v>1</v>
      </c>
      <c r="F2" s="12">
        <v>1</v>
      </c>
      <c r="G2" s="59">
        <v>1</v>
      </c>
      <c r="H2" s="59">
        <v>1</v>
      </c>
      <c r="I2" s="59">
        <v>1</v>
      </c>
      <c r="J2" s="60" t="s">
        <v>663</v>
      </c>
      <c r="K2" s="46" t="s">
        <v>317</v>
      </c>
      <c r="L2" s="46" t="s">
        <v>414</v>
      </c>
      <c r="M2" s="50"/>
      <c r="N2" s="48"/>
    </row>
    <row r="3" spans="1:14" ht="90" x14ac:dyDescent="0.25">
      <c r="A3" s="23" t="s">
        <v>13</v>
      </c>
      <c r="B3" s="24" t="s">
        <v>74</v>
      </c>
      <c r="C3" s="25" t="s">
        <v>38</v>
      </c>
      <c r="D3" s="6" t="s">
        <v>0</v>
      </c>
      <c r="E3" s="12" t="s">
        <v>1</v>
      </c>
      <c r="F3" s="12">
        <v>1</v>
      </c>
      <c r="G3" s="59">
        <v>0</v>
      </c>
      <c r="H3" s="59">
        <v>0</v>
      </c>
      <c r="I3" s="59">
        <v>0</v>
      </c>
      <c r="J3" s="60"/>
      <c r="K3" s="46" t="s">
        <v>318</v>
      </c>
      <c r="L3" s="46" t="s">
        <v>415</v>
      </c>
      <c r="M3" s="51"/>
      <c r="N3" s="48"/>
    </row>
    <row r="4" spans="1:14" ht="210" x14ac:dyDescent="0.25">
      <c r="A4" s="23" t="s">
        <v>13</v>
      </c>
      <c r="B4" s="24" t="s">
        <v>75</v>
      </c>
      <c r="C4" s="25" t="s">
        <v>173</v>
      </c>
      <c r="D4" s="6" t="s">
        <v>0</v>
      </c>
      <c r="E4" s="12" t="s">
        <v>1</v>
      </c>
      <c r="F4" s="12">
        <v>1</v>
      </c>
      <c r="G4" s="59">
        <v>1</v>
      </c>
      <c r="H4" s="59">
        <v>1</v>
      </c>
      <c r="I4" s="59">
        <v>1</v>
      </c>
      <c r="J4" s="60" t="s">
        <v>661</v>
      </c>
      <c r="K4" s="46" t="s">
        <v>319</v>
      </c>
      <c r="L4" s="46" t="s">
        <v>416</v>
      </c>
      <c r="M4" s="51"/>
      <c r="N4" s="48"/>
    </row>
    <row r="5" spans="1:14" ht="225" x14ac:dyDescent="0.25">
      <c r="A5" s="23" t="s">
        <v>13</v>
      </c>
      <c r="B5" s="24" t="s">
        <v>76</v>
      </c>
      <c r="C5" s="25" t="s">
        <v>230</v>
      </c>
      <c r="D5" s="11" t="s">
        <v>95</v>
      </c>
      <c r="E5" s="12" t="s">
        <v>1</v>
      </c>
      <c r="F5" s="12">
        <v>1</v>
      </c>
      <c r="G5" s="59">
        <v>1</v>
      </c>
      <c r="H5" s="59">
        <v>1</v>
      </c>
      <c r="I5" s="59">
        <v>1</v>
      </c>
      <c r="J5" s="60" t="s">
        <v>661</v>
      </c>
      <c r="K5" s="46" t="s">
        <v>320</v>
      </c>
      <c r="L5" s="46" t="s">
        <v>417</v>
      </c>
      <c r="M5" s="51"/>
      <c r="N5" s="48"/>
    </row>
    <row r="6" spans="1:14" ht="105" x14ac:dyDescent="0.25">
      <c r="A6" s="23" t="s">
        <v>14</v>
      </c>
      <c r="B6" s="24" t="s">
        <v>77</v>
      </c>
      <c r="C6" s="25" t="s">
        <v>52</v>
      </c>
      <c r="D6" s="6" t="s">
        <v>0</v>
      </c>
      <c r="E6" s="12" t="s">
        <v>1</v>
      </c>
      <c r="F6" s="12">
        <v>2</v>
      </c>
      <c r="G6" s="59">
        <v>0</v>
      </c>
      <c r="H6" s="59">
        <v>2</v>
      </c>
      <c r="I6" s="59">
        <v>1</v>
      </c>
      <c r="J6" s="62" t="s">
        <v>660</v>
      </c>
      <c r="K6" s="46" t="s">
        <v>321</v>
      </c>
      <c r="L6" s="46" t="s">
        <v>418</v>
      </c>
      <c r="M6" s="51"/>
      <c r="N6" s="48"/>
    </row>
    <row r="7" spans="1:14" ht="165" x14ac:dyDescent="0.25">
      <c r="A7" s="23" t="s">
        <v>14</v>
      </c>
      <c r="B7" s="24" t="s">
        <v>78</v>
      </c>
      <c r="C7" s="25" t="s">
        <v>48</v>
      </c>
      <c r="D7" s="6" t="s">
        <v>96</v>
      </c>
      <c r="E7" s="12" t="s">
        <v>1</v>
      </c>
      <c r="F7" s="12">
        <v>1</v>
      </c>
      <c r="G7" s="59">
        <v>0</v>
      </c>
      <c r="H7" s="59">
        <v>1</v>
      </c>
      <c r="I7" s="59">
        <v>1</v>
      </c>
      <c r="J7" s="62" t="s">
        <v>660</v>
      </c>
      <c r="K7" s="46" t="s">
        <v>322</v>
      </c>
      <c r="L7" s="46" t="s">
        <v>419</v>
      </c>
      <c r="M7" s="51"/>
      <c r="N7" s="48"/>
    </row>
    <row r="8" spans="1:14" ht="30" x14ac:dyDescent="0.25">
      <c r="A8" s="23" t="s">
        <v>14</v>
      </c>
      <c r="B8" s="24" t="s">
        <v>79</v>
      </c>
      <c r="C8" s="25">
        <v>6</v>
      </c>
      <c r="D8" s="6" t="s">
        <v>101</v>
      </c>
      <c r="E8" s="12" t="s">
        <v>1</v>
      </c>
      <c r="F8" s="12">
        <v>1</v>
      </c>
      <c r="G8" s="59">
        <v>1</v>
      </c>
      <c r="H8" s="59">
        <v>1</v>
      </c>
      <c r="I8" s="59">
        <v>1</v>
      </c>
      <c r="J8" s="60" t="s">
        <v>688</v>
      </c>
      <c r="K8" s="46" t="s">
        <v>323</v>
      </c>
      <c r="L8" s="46" t="s">
        <v>420</v>
      </c>
      <c r="M8" s="51"/>
      <c r="N8" s="48"/>
    </row>
    <row r="9" spans="1:14" ht="135" hidden="1" x14ac:dyDescent="0.25">
      <c r="A9" s="23" t="s">
        <v>15</v>
      </c>
      <c r="B9" s="24" t="s">
        <v>70</v>
      </c>
      <c r="C9" s="25" t="s">
        <v>33</v>
      </c>
      <c r="D9" s="63" t="s">
        <v>590</v>
      </c>
      <c r="E9" s="64" t="s">
        <v>595</v>
      </c>
      <c r="F9" s="12">
        <v>0</v>
      </c>
      <c r="G9" s="59">
        <v>0</v>
      </c>
      <c r="H9" s="59">
        <v>0</v>
      </c>
      <c r="I9" s="59">
        <v>0</v>
      </c>
      <c r="J9" s="62" t="s">
        <v>589</v>
      </c>
      <c r="K9" s="46" t="s">
        <v>324</v>
      </c>
      <c r="L9" s="46" t="s">
        <v>421</v>
      </c>
      <c r="M9" s="51"/>
      <c r="N9" s="49"/>
    </row>
    <row r="10" spans="1:14" ht="120" x14ac:dyDescent="0.25">
      <c r="A10" s="23" t="s">
        <v>15</v>
      </c>
      <c r="B10" s="24" t="s">
        <v>80</v>
      </c>
      <c r="C10" s="25" t="s">
        <v>34</v>
      </c>
      <c r="D10" s="63" t="s">
        <v>590</v>
      </c>
      <c r="E10" s="12" t="s">
        <v>1</v>
      </c>
      <c r="F10" s="12">
        <v>1</v>
      </c>
      <c r="G10" s="59">
        <v>0</v>
      </c>
      <c r="H10" s="59">
        <v>0</v>
      </c>
      <c r="I10" s="59">
        <v>1</v>
      </c>
      <c r="J10" s="62" t="s">
        <v>662</v>
      </c>
      <c r="K10" s="46" t="s">
        <v>327</v>
      </c>
      <c r="L10" s="46" t="s">
        <v>422</v>
      </c>
      <c r="M10" s="51"/>
      <c r="N10" s="48"/>
    </row>
    <row r="11" spans="1:14" ht="270" x14ac:dyDescent="0.25">
      <c r="A11" s="23" t="s">
        <v>15</v>
      </c>
      <c r="B11" s="24" t="s">
        <v>330</v>
      </c>
      <c r="C11" s="25" t="s">
        <v>160</v>
      </c>
      <c r="D11" s="63" t="s">
        <v>590</v>
      </c>
      <c r="E11" s="12" t="s">
        <v>1</v>
      </c>
      <c r="F11" s="12">
        <v>1</v>
      </c>
      <c r="G11" s="59">
        <v>1</v>
      </c>
      <c r="H11" s="59">
        <v>1</v>
      </c>
      <c r="I11" s="59">
        <v>1</v>
      </c>
      <c r="J11" s="60" t="s">
        <v>661</v>
      </c>
      <c r="K11" s="46" t="s">
        <v>328</v>
      </c>
      <c r="L11" s="46" t="s">
        <v>423</v>
      </c>
      <c r="M11" s="51"/>
      <c r="N11" s="48"/>
    </row>
    <row r="12" spans="1:14" ht="45" customHeight="1" x14ac:dyDescent="0.25">
      <c r="A12" s="23" t="s">
        <v>15</v>
      </c>
      <c r="B12" s="24" t="s">
        <v>329</v>
      </c>
      <c r="C12" s="25" t="s">
        <v>161</v>
      </c>
      <c r="D12" s="63" t="s">
        <v>590</v>
      </c>
      <c r="E12" s="64" t="s">
        <v>596</v>
      </c>
      <c r="F12" s="12">
        <v>2</v>
      </c>
      <c r="G12" s="59">
        <v>1</v>
      </c>
      <c r="H12" s="59">
        <v>1</v>
      </c>
      <c r="I12" s="59">
        <v>2</v>
      </c>
      <c r="J12" s="60" t="s">
        <v>663</v>
      </c>
      <c r="K12" s="46" t="s">
        <v>331</v>
      </c>
      <c r="L12" s="46" t="s">
        <v>424</v>
      </c>
      <c r="M12" s="51"/>
      <c r="N12" s="48"/>
    </row>
    <row r="13" spans="1:14" ht="45" hidden="1" customHeight="1" x14ac:dyDescent="0.25">
      <c r="A13" s="23" t="s">
        <v>15</v>
      </c>
      <c r="B13" s="24" t="s">
        <v>591</v>
      </c>
      <c r="C13" s="25">
        <v>10</v>
      </c>
      <c r="D13" s="63" t="s">
        <v>590</v>
      </c>
      <c r="E13" s="12" t="s">
        <v>1</v>
      </c>
      <c r="F13" s="12">
        <v>0</v>
      </c>
      <c r="G13" s="59">
        <v>0</v>
      </c>
      <c r="H13" s="59">
        <v>0</v>
      </c>
      <c r="I13" s="59">
        <v>0</v>
      </c>
      <c r="J13" s="60"/>
      <c r="K13" s="46" t="s">
        <v>326</v>
      </c>
      <c r="M13" s="51"/>
      <c r="N13" s="48"/>
    </row>
    <row r="14" spans="1:14" ht="180" x14ac:dyDescent="0.25">
      <c r="A14" s="23" t="s">
        <v>15</v>
      </c>
      <c r="B14" s="24" t="s">
        <v>81</v>
      </c>
      <c r="C14" s="47" t="s">
        <v>325</v>
      </c>
      <c r="D14" s="63" t="s">
        <v>590</v>
      </c>
      <c r="E14" s="12" t="s">
        <v>1</v>
      </c>
      <c r="F14" s="12">
        <v>1</v>
      </c>
      <c r="G14" s="59">
        <v>1</v>
      </c>
      <c r="H14" s="59">
        <v>1</v>
      </c>
      <c r="I14" s="59">
        <v>1</v>
      </c>
      <c r="J14" s="60" t="s">
        <v>663</v>
      </c>
      <c r="K14" s="46" t="s">
        <v>332</v>
      </c>
      <c r="L14" s="46" t="s">
        <v>425</v>
      </c>
      <c r="M14" s="51"/>
      <c r="N14" s="48"/>
    </row>
    <row r="15" spans="1:14" ht="195" x14ac:dyDescent="0.25">
      <c r="A15" s="23" t="s">
        <v>15</v>
      </c>
      <c r="B15" s="24" t="s">
        <v>334</v>
      </c>
      <c r="C15" s="25" t="s">
        <v>231</v>
      </c>
      <c r="D15" s="63" t="s">
        <v>590</v>
      </c>
      <c r="E15" s="12" t="s">
        <v>1</v>
      </c>
      <c r="F15" s="12">
        <v>1</v>
      </c>
      <c r="G15" s="59">
        <v>1</v>
      </c>
      <c r="H15" s="59">
        <v>1</v>
      </c>
      <c r="I15" s="59">
        <v>1</v>
      </c>
      <c r="J15" s="62" t="s">
        <v>592</v>
      </c>
      <c r="K15" s="46" t="s">
        <v>333</v>
      </c>
      <c r="L15" s="46" t="s">
        <v>426</v>
      </c>
      <c r="M15" s="51"/>
      <c r="N15" s="48"/>
    </row>
    <row r="16" spans="1:14" x14ac:dyDescent="0.25">
      <c r="A16" s="23" t="s">
        <v>40</v>
      </c>
      <c r="B16" s="24" t="s">
        <v>82</v>
      </c>
      <c r="C16" s="25">
        <v>19</v>
      </c>
      <c r="D16" s="63" t="s">
        <v>590</v>
      </c>
      <c r="E16" s="12" t="s">
        <v>1</v>
      </c>
      <c r="F16" s="12">
        <v>1</v>
      </c>
      <c r="G16" s="59">
        <v>0</v>
      </c>
      <c r="H16" s="59">
        <v>0</v>
      </c>
      <c r="I16" s="59">
        <v>1</v>
      </c>
      <c r="J16" s="60"/>
      <c r="K16" s="46" t="s">
        <v>335</v>
      </c>
      <c r="L16" s="46" t="s">
        <v>427</v>
      </c>
      <c r="M16" s="51"/>
      <c r="N16" s="48"/>
    </row>
    <row r="17" spans="1:14" ht="300" hidden="1" x14ac:dyDescent="0.25">
      <c r="A17" s="23" t="s">
        <v>16</v>
      </c>
      <c r="B17" s="24" t="s">
        <v>336</v>
      </c>
      <c r="C17" s="25" t="s">
        <v>53</v>
      </c>
      <c r="D17" s="11" t="s">
        <v>102</v>
      </c>
      <c r="E17" s="64" t="s">
        <v>597</v>
      </c>
      <c r="F17" s="12">
        <v>0</v>
      </c>
      <c r="G17" s="59">
        <v>0</v>
      </c>
      <c r="H17" s="59"/>
      <c r="I17" s="59">
        <v>1</v>
      </c>
      <c r="J17" s="62" t="s">
        <v>593</v>
      </c>
      <c r="K17" s="46" t="s">
        <v>337</v>
      </c>
      <c r="L17" s="46" t="s">
        <v>428</v>
      </c>
      <c r="M17" s="51"/>
      <c r="N17" s="48"/>
    </row>
    <row r="18" spans="1:14" ht="120" hidden="1" x14ac:dyDescent="0.25">
      <c r="A18" s="23" t="s">
        <v>16</v>
      </c>
      <c r="B18" s="24" t="s">
        <v>221</v>
      </c>
      <c r="C18" s="25" t="s">
        <v>61</v>
      </c>
      <c r="D18" s="11" t="s">
        <v>102</v>
      </c>
      <c r="E18" s="12" t="s">
        <v>1</v>
      </c>
      <c r="F18" s="12">
        <v>0</v>
      </c>
      <c r="G18" s="59">
        <v>0</v>
      </c>
      <c r="H18" s="59">
        <v>0</v>
      </c>
      <c r="I18" s="59">
        <v>1</v>
      </c>
      <c r="J18" s="62" t="s">
        <v>594</v>
      </c>
      <c r="K18" s="46" t="s">
        <v>338</v>
      </c>
      <c r="L18" s="46" t="s">
        <v>429</v>
      </c>
      <c r="M18" s="51"/>
      <c r="N18" s="48"/>
    </row>
    <row r="19" spans="1:14" ht="120" x14ac:dyDescent="0.25">
      <c r="A19" s="23" t="s">
        <v>16</v>
      </c>
      <c r="B19" s="24" t="s">
        <v>232</v>
      </c>
      <c r="C19" s="25" t="s">
        <v>153</v>
      </c>
      <c r="D19" s="7" t="s">
        <v>60</v>
      </c>
      <c r="E19" s="12" t="s">
        <v>1</v>
      </c>
      <c r="F19" s="12">
        <v>1</v>
      </c>
      <c r="G19" s="59">
        <v>0</v>
      </c>
      <c r="H19" s="59">
        <v>0</v>
      </c>
      <c r="I19" s="59">
        <v>1</v>
      </c>
      <c r="J19" s="62" t="s">
        <v>664</v>
      </c>
      <c r="K19" s="46" t="s">
        <v>339</v>
      </c>
      <c r="L19" s="46" t="s">
        <v>430</v>
      </c>
      <c r="M19" s="51"/>
      <c r="N19" s="48"/>
    </row>
    <row r="20" spans="1:14" ht="135" hidden="1" x14ac:dyDescent="0.25">
      <c r="A20" s="23" t="s">
        <v>16</v>
      </c>
      <c r="B20" s="24" t="s">
        <v>85</v>
      </c>
      <c r="C20" s="25" t="s">
        <v>233</v>
      </c>
      <c r="D20" s="11" t="s">
        <v>101</v>
      </c>
      <c r="E20" s="64" t="s">
        <v>597</v>
      </c>
      <c r="F20" s="12">
        <v>0</v>
      </c>
      <c r="G20" s="59">
        <v>0</v>
      </c>
      <c r="H20" s="59">
        <v>0</v>
      </c>
      <c r="I20" s="59">
        <v>1</v>
      </c>
      <c r="J20" s="60"/>
      <c r="K20" s="46" t="s">
        <v>340</v>
      </c>
      <c r="L20" s="46" t="s">
        <v>659</v>
      </c>
      <c r="M20" s="51"/>
      <c r="N20" s="48"/>
    </row>
    <row r="21" spans="1:14" ht="285" hidden="1" x14ac:dyDescent="0.25">
      <c r="A21" s="23" t="s">
        <v>17</v>
      </c>
      <c r="B21" s="24" t="s">
        <v>83</v>
      </c>
      <c r="C21" s="25" t="s">
        <v>33</v>
      </c>
      <c r="D21" s="7" t="s">
        <v>61</v>
      </c>
      <c r="E21" s="12" t="s">
        <v>1</v>
      </c>
      <c r="F21" s="12">
        <v>0</v>
      </c>
      <c r="G21" s="59">
        <v>0</v>
      </c>
      <c r="H21" s="59">
        <v>0</v>
      </c>
      <c r="I21" s="59">
        <v>1</v>
      </c>
      <c r="J21" s="60"/>
      <c r="K21" s="46" t="s">
        <v>343</v>
      </c>
      <c r="L21" s="46" t="s">
        <v>431</v>
      </c>
      <c r="M21" s="51"/>
      <c r="N21" s="48"/>
    </row>
    <row r="22" spans="1:14" ht="255" hidden="1" x14ac:dyDescent="0.25">
      <c r="A22" s="23" t="s">
        <v>17</v>
      </c>
      <c r="B22" s="24" t="s">
        <v>222</v>
      </c>
      <c r="C22" s="25">
        <v>3</v>
      </c>
      <c r="D22" s="7" t="s">
        <v>61</v>
      </c>
      <c r="E22" s="64" t="s">
        <v>380</v>
      </c>
      <c r="F22" s="12">
        <v>0</v>
      </c>
      <c r="G22" s="104">
        <v>0</v>
      </c>
      <c r="H22" s="104">
        <v>0</v>
      </c>
      <c r="I22" s="104">
        <v>1</v>
      </c>
      <c r="J22" s="107" t="s">
        <v>594</v>
      </c>
      <c r="K22" s="46" t="s">
        <v>344</v>
      </c>
      <c r="L22" s="46" t="s">
        <v>432</v>
      </c>
      <c r="M22" s="51"/>
      <c r="N22" s="48"/>
    </row>
    <row r="23" spans="1:14" ht="270" hidden="1" x14ac:dyDescent="0.25">
      <c r="A23" s="23" t="s">
        <v>17</v>
      </c>
      <c r="B23" s="24" t="s">
        <v>84</v>
      </c>
      <c r="C23" s="25" t="s">
        <v>227</v>
      </c>
      <c r="D23" s="5">
        <v>7</v>
      </c>
      <c r="E23" s="12" t="s">
        <v>1</v>
      </c>
      <c r="F23" s="12">
        <v>0</v>
      </c>
      <c r="G23" s="104">
        <v>0</v>
      </c>
      <c r="H23" s="104">
        <v>0</v>
      </c>
      <c r="I23" s="104">
        <v>0</v>
      </c>
      <c r="J23" s="62" t="s">
        <v>614</v>
      </c>
      <c r="K23" s="46" t="s">
        <v>612</v>
      </c>
      <c r="L23" s="46" t="s">
        <v>433</v>
      </c>
      <c r="M23" s="51"/>
      <c r="N23" s="48"/>
    </row>
    <row r="24" spans="1:14" ht="45" hidden="1" x14ac:dyDescent="0.25">
      <c r="A24" s="23" t="s">
        <v>49</v>
      </c>
      <c r="B24" s="24" t="s">
        <v>234</v>
      </c>
      <c r="C24" s="25">
        <v>8</v>
      </c>
      <c r="D24" s="5">
        <v>7</v>
      </c>
      <c r="E24" s="12" t="s">
        <v>1</v>
      </c>
      <c r="F24" s="12">
        <v>0</v>
      </c>
      <c r="G24" s="104">
        <v>0</v>
      </c>
      <c r="H24" s="104">
        <v>0</v>
      </c>
      <c r="I24" s="104">
        <v>1</v>
      </c>
      <c r="J24" s="107" t="s">
        <v>638</v>
      </c>
      <c r="K24" s="46" t="s">
        <v>345</v>
      </c>
      <c r="L24" s="46" t="s">
        <v>434</v>
      </c>
      <c r="M24" s="51"/>
      <c r="N24" s="48"/>
    </row>
    <row r="25" spans="1:14" ht="60" hidden="1" x14ac:dyDescent="0.25">
      <c r="A25" s="23" t="s">
        <v>18</v>
      </c>
      <c r="B25" s="24" t="s">
        <v>70</v>
      </c>
      <c r="C25" s="25">
        <v>1</v>
      </c>
      <c r="D25" s="5"/>
      <c r="E25" s="12" t="s">
        <v>312</v>
      </c>
      <c r="F25" s="12">
        <v>0</v>
      </c>
      <c r="G25" s="104">
        <v>0</v>
      </c>
      <c r="H25" s="104">
        <v>0</v>
      </c>
      <c r="I25" s="104">
        <v>0</v>
      </c>
      <c r="J25" s="60"/>
      <c r="K25" s="46" t="s">
        <v>613</v>
      </c>
      <c r="L25" s="46" t="s">
        <v>435</v>
      </c>
      <c r="M25" s="51"/>
      <c r="N25" s="48"/>
    </row>
    <row r="26" spans="1:14" ht="120" hidden="1" x14ac:dyDescent="0.25">
      <c r="A26" s="23" t="s">
        <v>18</v>
      </c>
      <c r="B26" s="24" t="s">
        <v>86</v>
      </c>
      <c r="C26" s="25" t="s">
        <v>167</v>
      </c>
      <c r="D26" s="6" t="s">
        <v>121</v>
      </c>
      <c r="E26" s="12" t="s">
        <v>1</v>
      </c>
      <c r="F26" s="12">
        <v>0</v>
      </c>
      <c r="G26" s="104">
        <v>0</v>
      </c>
      <c r="H26" s="104">
        <v>0</v>
      </c>
      <c r="I26" s="104">
        <v>1</v>
      </c>
      <c r="J26" s="62" t="s">
        <v>654</v>
      </c>
      <c r="K26" s="46" t="s">
        <v>346</v>
      </c>
      <c r="L26" s="46" t="s">
        <v>436</v>
      </c>
      <c r="M26" s="51"/>
      <c r="N26" s="48"/>
    </row>
    <row r="27" spans="1:14" ht="135" x14ac:dyDescent="0.25">
      <c r="A27" s="23" t="s">
        <v>18</v>
      </c>
      <c r="B27" s="24" t="s">
        <v>248</v>
      </c>
      <c r="C27" s="25">
        <v>5</v>
      </c>
      <c r="D27" s="11" t="s">
        <v>93</v>
      </c>
      <c r="E27" s="12" t="s">
        <v>1</v>
      </c>
      <c r="F27" s="12">
        <v>1</v>
      </c>
      <c r="G27" s="104">
        <v>0</v>
      </c>
      <c r="H27" s="104">
        <v>1</v>
      </c>
      <c r="I27" s="104">
        <v>0</v>
      </c>
      <c r="J27" s="62" t="s">
        <v>665</v>
      </c>
      <c r="K27" s="46" t="s">
        <v>347</v>
      </c>
      <c r="L27" s="46" t="s">
        <v>437</v>
      </c>
      <c r="M27" s="51"/>
      <c r="N27" s="48"/>
    </row>
    <row r="28" spans="1:14" ht="60" hidden="1" x14ac:dyDescent="0.25">
      <c r="A28" s="23" t="s">
        <v>18</v>
      </c>
      <c r="B28" s="24" t="s">
        <v>349</v>
      </c>
      <c r="C28" s="25" t="s">
        <v>61</v>
      </c>
      <c r="D28" s="11" t="s">
        <v>93</v>
      </c>
      <c r="E28" s="12" t="s">
        <v>1</v>
      </c>
      <c r="F28" s="12">
        <v>0</v>
      </c>
      <c r="G28" s="104">
        <v>0</v>
      </c>
      <c r="H28" s="104">
        <v>0</v>
      </c>
      <c r="I28" s="104">
        <v>0</v>
      </c>
      <c r="J28" s="107" t="s">
        <v>639</v>
      </c>
      <c r="K28" s="46" t="s">
        <v>348</v>
      </c>
      <c r="L28" s="46" t="s">
        <v>438</v>
      </c>
      <c r="M28" s="51"/>
      <c r="N28" s="48"/>
    </row>
    <row r="29" spans="1:14" ht="120" x14ac:dyDescent="0.25">
      <c r="A29" s="23" t="s">
        <v>18</v>
      </c>
      <c r="B29" s="24" t="s">
        <v>87</v>
      </c>
      <c r="C29" s="25" t="s">
        <v>161</v>
      </c>
      <c r="D29" s="11" t="s">
        <v>95</v>
      </c>
      <c r="E29" s="12" t="s">
        <v>1</v>
      </c>
      <c r="F29" s="12">
        <v>1</v>
      </c>
      <c r="G29" s="104">
        <v>1</v>
      </c>
      <c r="H29" s="104">
        <v>1</v>
      </c>
      <c r="I29" s="104">
        <v>0</v>
      </c>
      <c r="J29" s="62" t="s">
        <v>666</v>
      </c>
      <c r="K29" s="46" t="s">
        <v>350</v>
      </c>
      <c r="L29" s="46" t="s">
        <v>439</v>
      </c>
      <c r="M29" s="51"/>
      <c r="N29" s="48"/>
    </row>
    <row r="30" spans="1:14" ht="75" hidden="1" x14ac:dyDescent="0.25">
      <c r="A30" s="23" t="s">
        <v>249</v>
      </c>
      <c r="B30" s="24" t="s">
        <v>250</v>
      </c>
      <c r="C30" s="25" t="s">
        <v>252</v>
      </c>
      <c r="D30" s="11" t="s">
        <v>95</v>
      </c>
      <c r="E30" s="12" t="s">
        <v>1</v>
      </c>
      <c r="F30" s="12">
        <v>0</v>
      </c>
      <c r="G30" s="104">
        <v>0</v>
      </c>
      <c r="H30" s="104">
        <v>0</v>
      </c>
      <c r="I30" s="104">
        <v>1</v>
      </c>
      <c r="J30" s="107" t="s">
        <v>640</v>
      </c>
      <c r="K30" s="46" t="s">
        <v>616</v>
      </c>
      <c r="L30" s="46" t="s">
        <v>440</v>
      </c>
      <c r="M30" s="51"/>
      <c r="N30" s="48"/>
    </row>
    <row r="31" spans="1:14" ht="90" x14ac:dyDescent="0.25">
      <c r="A31" s="23" t="s">
        <v>249</v>
      </c>
      <c r="B31" s="24" t="s">
        <v>251</v>
      </c>
      <c r="C31" s="25">
        <v>12</v>
      </c>
      <c r="D31" s="11" t="s">
        <v>95</v>
      </c>
      <c r="E31" s="12" t="s">
        <v>1</v>
      </c>
      <c r="F31" s="12">
        <v>1</v>
      </c>
      <c r="G31" s="104">
        <v>0</v>
      </c>
      <c r="H31" s="104">
        <v>0</v>
      </c>
      <c r="I31" s="104">
        <v>0</v>
      </c>
      <c r="J31" s="60" t="s">
        <v>667</v>
      </c>
      <c r="K31" s="46" t="s">
        <v>351</v>
      </c>
      <c r="L31" s="46" t="s">
        <v>441</v>
      </c>
      <c r="M31" s="51"/>
      <c r="N31" s="48"/>
    </row>
    <row r="32" spans="1:14" ht="30" hidden="1" x14ac:dyDescent="0.25">
      <c r="A32" s="23" t="s">
        <v>19</v>
      </c>
      <c r="B32" s="24" t="s">
        <v>70</v>
      </c>
      <c r="C32" s="25">
        <v>1</v>
      </c>
      <c r="D32" s="11" t="s">
        <v>95</v>
      </c>
      <c r="E32" s="12" t="s">
        <v>1</v>
      </c>
      <c r="F32" s="12">
        <v>0</v>
      </c>
      <c r="G32" s="104">
        <v>0</v>
      </c>
      <c r="H32" s="104">
        <v>0</v>
      </c>
      <c r="I32" s="104">
        <v>0</v>
      </c>
      <c r="J32" s="62" t="s">
        <v>641</v>
      </c>
      <c r="K32" s="46" t="s">
        <v>352</v>
      </c>
      <c r="L32" s="46" t="s">
        <v>442</v>
      </c>
      <c r="M32" s="51"/>
      <c r="N32" s="48"/>
    </row>
    <row r="33" spans="1:14" ht="375" x14ac:dyDescent="0.25">
      <c r="A33" s="23" t="s">
        <v>19</v>
      </c>
      <c r="B33" s="24" t="s">
        <v>254</v>
      </c>
      <c r="C33" s="25" t="s">
        <v>167</v>
      </c>
      <c r="D33" s="11" t="s">
        <v>99</v>
      </c>
      <c r="E33" s="12" t="s">
        <v>1</v>
      </c>
      <c r="F33" s="12">
        <v>1</v>
      </c>
      <c r="G33" s="104">
        <v>1</v>
      </c>
      <c r="H33" s="104">
        <v>1</v>
      </c>
      <c r="I33" s="104">
        <v>1</v>
      </c>
      <c r="J33" s="62" t="s">
        <v>668</v>
      </c>
      <c r="K33" s="46" t="s">
        <v>353</v>
      </c>
      <c r="L33" s="46" t="s">
        <v>443</v>
      </c>
      <c r="M33" s="51"/>
      <c r="N33" s="48"/>
    </row>
    <row r="34" spans="1:14" ht="405" hidden="1" x14ac:dyDescent="0.25">
      <c r="A34" s="23" t="s">
        <v>19</v>
      </c>
      <c r="B34" s="24" t="s">
        <v>253</v>
      </c>
      <c r="C34" s="25" t="s">
        <v>42</v>
      </c>
      <c r="D34" s="11" t="s">
        <v>95</v>
      </c>
      <c r="E34" s="12" t="s">
        <v>1</v>
      </c>
      <c r="F34" s="12">
        <v>0</v>
      </c>
      <c r="G34" s="104">
        <v>0</v>
      </c>
      <c r="H34" s="104">
        <v>0</v>
      </c>
      <c r="I34" s="104">
        <v>1</v>
      </c>
      <c r="J34" s="60"/>
      <c r="K34" s="46" t="s">
        <v>617</v>
      </c>
      <c r="L34" s="46" t="s">
        <v>444</v>
      </c>
      <c r="M34" s="51"/>
      <c r="N34" s="48"/>
    </row>
    <row r="35" spans="1:14" ht="75" hidden="1" x14ac:dyDescent="0.25">
      <c r="A35" s="23" t="s">
        <v>51</v>
      </c>
      <c r="B35" s="24" t="s">
        <v>255</v>
      </c>
      <c r="C35" s="25" t="s">
        <v>47</v>
      </c>
      <c r="D35" s="11" t="s">
        <v>103</v>
      </c>
      <c r="E35" s="12" t="s">
        <v>1</v>
      </c>
      <c r="F35" s="12">
        <v>0</v>
      </c>
      <c r="G35" s="104">
        <v>0</v>
      </c>
      <c r="H35" s="104">
        <v>0</v>
      </c>
      <c r="I35" s="104">
        <v>0</v>
      </c>
      <c r="J35" s="62"/>
      <c r="K35" s="46" t="s">
        <v>354</v>
      </c>
      <c r="L35" s="46" t="s">
        <v>445</v>
      </c>
      <c r="M35" s="51"/>
      <c r="N35" s="48"/>
    </row>
    <row r="36" spans="1:14" ht="195" hidden="1" x14ac:dyDescent="0.25">
      <c r="A36" s="23" t="s">
        <v>20</v>
      </c>
      <c r="B36" s="24" t="s">
        <v>256</v>
      </c>
      <c r="C36" s="25" t="s">
        <v>41</v>
      </c>
      <c r="D36" s="5"/>
      <c r="E36" s="12" t="s">
        <v>1</v>
      </c>
      <c r="F36" s="12">
        <v>0</v>
      </c>
      <c r="G36" s="104">
        <v>0</v>
      </c>
      <c r="H36" s="104">
        <v>0</v>
      </c>
      <c r="I36" s="104">
        <v>0</v>
      </c>
      <c r="J36" s="62" t="s">
        <v>615</v>
      </c>
      <c r="K36" s="46" t="s">
        <v>355</v>
      </c>
      <c r="L36" s="46" t="s">
        <v>446</v>
      </c>
      <c r="M36" s="52"/>
      <c r="N36" s="48"/>
    </row>
    <row r="37" spans="1:14" ht="30" hidden="1" x14ac:dyDescent="0.25">
      <c r="A37" s="23" t="s">
        <v>21</v>
      </c>
      <c r="B37" s="24" t="s">
        <v>70</v>
      </c>
      <c r="C37" s="25">
        <v>1</v>
      </c>
      <c r="D37" s="11" t="s">
        <v>95</v>
      </c>
      <c r="E37" s="64" t="s">
        <v>45</v>
      </c>
      <c r="F37" s="12">
        <v>0</v>
      </c>
      <c r="G37" s="104">
        <v>0</v>
      </c>
      <c r="H37" s="104">
        <v>0</v>
      </c>
      <c r="I37" s="104">
        <v>0</v>
      </c>
      <c r="J37" s="60"/>
      <c r="K37" s="46" t="s">
        <v>356</v>
      </c>
      <c r="L37" s="46" t="s">
        <v>447</v>
      </c>
      <c r="M37" s="51"/>
      <c r="N37" s="48"/>
    </row>
    <row r="38" spans="1:14" ht="165" hidden="1" x14ac:dyDescent="0.25">
      <c r="A38" s="23" t="s">
        <v>21</v>
      </c>
      <c r="B38" s="24" t="s">
        <v>88</v>
      </c>
      <c r="C38" s="25">
        <v>2</v>
      </c>
      <c r="D38" s="11" t="s">
        <v>95</v>
      </c>
      <c r="E38" s="65" t="s">
        <v>57</v>
      </c>
      <c r="F38" s="12">
        <v>0</v>
      </c>
      <c r="G38" s="104">
        <v>0</v>
      </c>
      <c r="H38" s="104">
        <v>0</v>
      </c>
      <c r="I38" s="104">
        <v>1</v>
      </c>
      <c r="J38" s="62" t="s">
        <v>618</v>
      </c>
      <c r="K38" s="46" t="s">
        <v>357</v>
      </c>
      <c r="L38" s="46" t="s">
        <v>448</v>
      </c>
      <c r="M38" s="51"/>
      <c r="N38" s="48"/>
    </row>
    <row r="39" spans="1:14" ht="345" hidden="1" x14ac:dyDescent="0.25">
      <c r="A39" s="23" t="s">
        <v>21</v>
      </c>
      <c r="B39" s="24" t="s">
        <v>50</v>
      </c>
      <c r="C39" s="25" t="s">
        <v>257</v>
      </c>
      <c r="D39" s="11" t="s">
        <v>95</v>
      </c>
      <c r="E39" s="64" t="s">
        <v>598</v>
      </c>
      <c r="F39" s="12">
        <v>0</v>
      </c>
      <c r="G39" s="104">
        <v>0</v>
      </c>
      <c r="H39" s="104">
        <v>0</v>
      </c>
      <c r="I39" s="104">
        <v>1</v>
      </c>
      <c r="J39" s="60"/>
      <c r="K39" s="46" t="s">
        <v>358</v>
      </c>
      <c r="L39" s="46" t="s">
        <v>449</v>
      </c>
      <c r="M39" s="51"/>
      <c r="N39" s="48"/>
    </row>
    <row r="40" spans="1:14" ht="120" hidden="1" x14ac:dyDescent="0.25">
      <c r="A40" s="23" t="s">
        <v>21</v>
      </c>
      <c r="B40" s="24" t="s">
        <v>89</v>
      </c>
      <c r="C40" s="25" t="s">
        <v>161</v>
      </c>
      <c r="D40" s="11" t="s">
        <v>95</v>
      </c>
      <c r="E40" s="12" t="s">
        <v>1</v>
      </c>
      <c r="F40" s="12">
        <v>0</v>
      </c>
      <c r="G40" s="104">
        <v>0</v>
      </c>
      <c r="H40" s="104">
        <v>0</v>
      </c>
      <c r="I40" s="104">
        <v>1</v>
      </c>
      <c r="J40" s="60"/>
      <c r="K40" s="46" t="s">
        <v>619</v>
      </c>
      <c r="L40" s="46" t="s">
        <v>450</v>
      </c>
      <c r="M40" s="51"/>
      <c r="N40" s="48"/>
    </row>
    <row r="41" spans="1:14" ht="180" hidden="1" x14ac:dyDescent="0.25">
      <c r="A41" s="23" t="s">
        <v>21</v>
      </c>
      <c r="B41" s="24" t="s">
        <v>258</v>
      </c>
      <c r="C41" s="25" t="s">
        <v>162</v>
      </c>
      <c r="D41" s="11" t="s">
        <v>95</v>
      </c>
      <c r="E41" s="12" t="s">
        <v>1</v>
      </c>
      <c r="F41" s="12">
        <v>0</v>
      </c>
      <c r="G41" s="104">
        <v>0</v>
      </c>
      <c r="H41" s="104">
        <v>0</v>
      </c>
      <c r="I41" s="104">
        <v>1</v>
      </c>
      <c r="J41" s="60"/>
      <c r="K41" s="46" t="s">
        <v>359</v>
      </c>
      <c r="L41" s="46" t="s">
        <v>451</v>
      </c>
      <c r="M41" s="51"/>
      <c r="N41" s="48"/>
    </row>
    <row r="42" spans="1:14" ht="90" hidden="1" x14ac:dyDescent="0.25">
      <c r="A42" s="23" t="s">
        <v>260</v>
      </c>
      <c r="B42" s="24" t="s">
        <v>259</v>
      </c>
      <c r="C42" s="25" t="s">
        <v>231</v>
      </c>
      <c r="D42" s="11" t="s">
        <v>95</v>
      </c>
      <c r="E42" s="12" t="s">
        <v>1</v>
      </c>
      <c r="F42" s="12">
        <v>0</v>
      </c>
      <c r="G42" s="104">
        <v>0</v>
      </c>
      <c r="H42" s="104">
        <v>0</v>
      </c>
      <c r="I42" s="104">
        <v>1</v>
      </c>
      <c r="J42" s="60"/>
      <c r="K42" s="46" t="s">
        <v>360</v>
      </c>
      <c r="L42" s="46" t="s">
        <v>452</v>
      </c>
      <c r="M42" s="51"/>
      <c r="N42" s="48"/>
    </row>
    <row r="43" spans="1:14" ht="330" hidden="1" x14ac:dyDescent="0.25">
      <c r="A43" s="23" t="s">
        <v>22</v>
      </c>
      <c r="B43" s="24" t="s">
        <v>261</v>
      </c>
      <c r="C43" s="25" t="s">
        <v>53</v>
      </c>
      <c r="D43" s="11" t="s">
        <v>100</v>
      </c>
      <c r="E43" s="12" t="s">
        <v>1</v>
      </c>
      <c r="F43" s="12">
        <v>0</v>
      </c>
      <c r="G43" s="104">
        <v>0</v>
      </c>
      <c r="H43" s="104">
        <v>0</v>
      </c>
      <c r="I43" s="104">
        <v>1</v>
      </c>
      <c r="J43" s="62" t="s">
        <v>620</v>
      </c>
      <c r="K43" s="46" t="s">
        <v>361</v>
      </c>
      <c r="L43" s="46" t="s">
        <v>453</v>
      </c>
      <c r="M43" s="111"/>
      <c r="N43" s="48"/>
    </row>
    <row r="44" spans="1:14" ht="105" hidden="1" x14ac:dyDescent="0.25">
      <c r="A44" s="23" t="s">
        <v>22</v>
      </c>
      <c r="B44" s="24" t="s">
        <v>262</v>
      </c>
      <c r="C44" s="25" t="s">
        <v>54</v>
      </c>
      <c r="D44" s="11" t="s">
        <v>100</v>
      </c>
      <c r="E44" s="12" t="s">
        <v>1</v>
      </c>
      <c r="F44" s="12">
        <v>0</v>
      </c>
      <c r="G44" s="104">
        <v>0</v>
      </c>
      <c r="H44" s="104">
        <v>0</v>
      </c>
      <c r="I44" s="104">
        <v>1</v>
      </c>
      <c r="J44" s="62" t="s">
        <v>621</v>
      </c>
      <c r="K44" s="46" t="s">
        <v>362</v>
      </c>
      <c r="L44" s="56" t="s">
        <v>454</v>
      </c>
      <c r="M44" s="112"/>
      <c r="N44" s="48"/>
    </row>
    <row r="45" spans="1:14" ht="30" hidden="1" customHeight="1" x14ac:dyDescent="0.25">
      <c r="A45" s="23" t="s">
        <v>22</v>
      </c>
      <c r="B45" s="24" t="s">
        <v>263</v>
      </c>
      <c r="C45" s="25" t="s">
        <v>230</v>
      </c>
      <c r="D45" s="6" t="s">
        <v>95</v>
      </c>
      <c r="E45" s="12" t="s">
        <v>1</v>
      </c>
      <c r="F45" s="12">
        <v>0</v>
      </c>
      <c r="G45" s="104">
        <v>0</v>
      </c>
      <c r="H45" s="104">
        <v>0</v>
      </c>
      <c r="I45" s="104">
        <v>1</v>
      </c>
      <c r="J45" s="60"/>
      <c r="K45" s="46" t="s">
        <v>363</v>
      </c>
      <c r="L45" s="46" t="s">
        <v>455</v>
      </c>
      <c r="M45" s="52"/>
      <c r="N45" s="48"/>
    </row>
    <row r="46" spans="1:14" ht="90" hidden="1" x14ac:dyDescent="0.25">
      <c r="A46" s="23" t="s">
        <v>23</v>
      </c>
      <c r="B46" s="24" t="s">
        <v>70</v>
      </c>
      <c r="C46" s="25">
        <v>1</v>
      </c>
      <c r="D46" s="11" t="s">
        <v>95</v>
      </c>
      <c r="E46" s="12" t="s">
        <v>1</v>
      </c>
      <c r="F46" s="12">
        <v>0</v>
      </c>
      <c r="G46" s="104">
        <v>0</v>
      </c>
      <c r="H46" s="104">
        <v>0</v>
      </c>
      <c r="I46" s="104">
        <v>1</v>
      </c>
      <c r="J46" s="62" t="s">
        <v>655</v>
      </c>
      <c r="K46" s="46" t="s">
        <v>369</v>
      </c>
      <c r="L46" s="46" t="s">
        <v>456</v>
      </c>
      <c r="M46" s="51"/>
      <c r="N46" s="48"/>
    </row>
    <row r="47" spans="1:14" ht="195" x14ac:dyDescent="0.25">
      <c r="A47" s="23" t="s">
        <v>23</v>
      </c>
      <c r="B47" s="24" t="s">
        <v>364</v>
      </c>
      <c r="C47" s="25" t="s">
        <v>167</v>
      </c>
      <c r="D47" s="11" t="s">
        <v>100</v>
      </c>
      <c r="E47" s="12" t="s">
        <v>1</v>
      </c>
      <c r="F47" s="12">
        <v>1</v>
      </c>
      <c r="G47" s="104">
        <v>0</v>
      </c>
      <c r="H47" s="104">
        <v>0</v>
      </c>
      <c r="I47" s="104">
        <v>1</v>
      </c>
      <c r="J47" s="60" t="s">
        <v>686</v>
      </c>
      <c r="K47" s="46" t="s">
        <v>367</v>
      </c>
      <c r="L47" s="46" t="s">
        <v>457</v>
      </c>
      <c r="M47" s="111"/>
      <c r="N47" s="48"/>
    </row>
    <row r="48" spans="1:14" ht="225" hidden="1" x14ac:dyDescent="0.25">
      <c r="A48" s="23" t="s">
        <v>23</v>
      </c>
      <c r="B48" s="24" t="s">
        <v>365</v>
      </c>
      <c r="C48" s="25" t="s">
        <v>46</v>
      </c>
      <c r="D48" s="11" t="s">
        <v>100</v>
      </c>
      <c r="E48" s="12" t="s">
        <v>1</v>
      </c>
      <c r="F48" s="12">
        <v>0</v>
      </c>
      <c r="G48" s="104">
        <v>0</v>
      </c>
      <c r="H48" s="104">
        <v>0</v>
      </c>
      <c r="I48" s="104">
        <v>1</v>
      </c>
      <c r="J48" s="60"/>
      <c r="K48" s="46" t="s">
        <v>368</v>
      </c>
      <c r="L48" s="56" t="s">
        <v>458</v>
      </c>
      <c r="M48" s="113"/>
      <c r="N48" s="48"/>
    </row>
    <row r="49" spans="1:14" ht="135" hidden="1" x14ac:dyDescent="0.25">
      <c r="A49" s="23" t="s">
        <v>23</v>
      </c>
      <c r="B49" s="24" t="s">
        <v>366</v>
      </c>
      <c r="C49" s="25">
        <v>7</v>
      </c>
      <c r="D49" s="11" t="s">
        <v>100</v>
      </c>
      <c r="E49" s="12" t="s">
        <v>1</v>
      </c>
      <c r="F49" s="12">
        <v>0</v>
      </c>
      <c r="G49" s="104">
        <v>0</v>
      </c>
      <c r="H49" s="104">
        <v>0</v>
      </c>
      <c r="I49" s="104">
        <v>0</v>
      </c>
      <c r="J49" s="60"/>
      <c r="K49" s="46" t="s">
        <v>370</v>
      </c>
      <c r="L49" s="57" t="s">
        <v>459</v>
      </c>
      <c r="M49" s="112"/>
      <c r="N49" s="48"/>
    </row>
    <row r="50" spans="1:14" ht="42" hidden="1" customHeight="1" x14ac:dyDescent="0.25">
      <c r="A50" s="23" t="s">
        <v>23</v>
      </c>
      <c r="B50" s="24" t="s">
        <v>137</v>
      </c>
      <c r="C50" s="25" t="s">
        <v>153</v>
      </c>
      <c r="D50" s="6" t="s">
        <v>95</v>
      </c>
      <c r="E50" s="12" t="s">
        <v>1</v>
      </c>
      <c r="F50" s="12">
        <v>0</v>
      </c>
      <c r="G50" s="12">
        <v>0</v>
      </c>
      <c r="H50" s="12">
        <v>0</v>
      </c>
      <c r="I50" s="12">
        <v>0</v>
      </c>
      <c r="J50" s="60"/>
      <c r="K50" s="46" t="s">
        <v>371</v>
      </c>
      <c r="L50" s="46" t="s">
        <v>460</v>
      </c>
      <c r="M50" s="52"/>
      <c r="N50" s="48"/>
    </row>
    <row r="51" spans="1:14" ht="330" x14ac:dyDescent="0.25">
      <c r="A51" s="23" t="s">
        <v>24</v>
      </c>
      <c r="B51" s="24" t="s">
        <v>154</v>
      </c>
      <c r="C51" s="25" t="s">
        <v>35</v>
      </c>
      <c r="D51" s="5" t="s">
        <v>1</v>
      </c>
      <c r="E51" s="12" t="s">
        <v>1</v>
      </c>
      <c r="F51" s="12">
        <v>1</v>
      </c>
      <c r="G51" s="104">
        <v>0</v>
      </c>
      <c r="H51" s="104">
        <v>0</v>
      </c>
      <c r="I51" s="104">
        <v>1</v>
      </c>
      <c r="J51" s="60" t="s">
        <v>687</v>
      </c>
      <c r="K51" s="46" t="s">
        <v>372</v>
      </c>
      <c r="L51" s="46" t="s">
        <v>461</v>
      </c>
      <c r="M51" s="51"/>
      <c r="N51" s="48"/>
    </row>
    <row r="52" spans="1:14" ht="135" x14ac:dyDescent="0.25">
      <c r="A52" s="23" t="s">
        <v>24</v>
      </c>
      <c r="B52" s="24" t="s">
        <v>373</v>
      </c>
      <c r="C52" s="25" t="s">
        <v>173</v>
      </c>
      <c r="D52" s="5"/>
      <c r="E52" s="12" t="s">
        <v>1</v>
      </c>
      <c r="F52" s="12">
        <v>1</v>
      </c>
      <c r="G52" s="104">
        <v>0</v>
      </c>
      <c r="H52" s="104">
        <v>0</v>
      </c>
      <c r="I52" s="104">
        <v>1</v>
      </c>
      <c r="J52" s="60" t="s">
        <v>692</v>
      </c>
      <c r="K52" s="46" t="s">
        <v>374</v>
      </c>
      <c r="L52" s="46" t="s">
        <v>462</v>
      </c>
      <c r="M52" s="51"/>
      <c r="N52" s="48"/>
    </row>
    <row r="53" spans="1:14" ht="30" hidden="1" customHeight="1" x14ac:dyDescent="0.25">
      <c r="A53" s="23" t="s">
        <v>24</v>
      </c>
      <c r="B53" s="24" t="s">
        <v>156</v>
      </c>
      <c r="C53" s="25">
        <v>10</v>
      </c>
      <c r="D53" s="5"/>
      <c r="E53" s="12" t="s">
        <v>312</v>
      </c>
      <c r="F53" s="12">
        <v>0</v>
      </c>
      <c r="G53" s="104">
        <v>0</v>
      </c>
      <c r="H53" s="104">
        <v>0</v>
      </c>
      <c r="I53" s="104">
        <v>0</v>
      </c>
      <c r="J53" s="60"/>
      <c r="K53" s="46" t="s">
        <v>375</v>
      </c>
      <c r="M53" s="52"/>
      <c r="N53" s="48"/>
    </row>
    <row r="54" spans="1:14" ht="30" customHeight="1" x14ac:dyDescent="0.25">
      <c r="A54" s="23" t="s">
        <v>315</v>
      </c>
      <c r="B54" s="24" t="s">
        <v>311</v>
      </c>
      <c r="C54" s="25" t="s">
        <v>265</v>
      </c>
      <c r="D54" s="5"/>
      <c r="E54" s="12" t="s">
        <v>1</v>
      </c>
      <c r="F54" s="12">
        <v>1</v>
      </c>
      <c r="G54" s="104">
        <v>0</v>
      </c>
      <c r="H54" s="104">
        <v>0</v>
      </c>
      <c r="I54" s="104">
        <v>1</v>
      </c>
      <c r="J54" s="60" t="s">
        <v>669</v>
      </c>
      <c r="K54" s="46" t="s">
        <v>376</v>
      </c>
      <c r="L54" s="46" t="s">
        <v>463</v>
      </c>
      <c r="M54" s="52"/>
      <c r="N54" s="48"/>
    </row>
    <row r="55" spans="1:14" ht="15" hidden="1" customHeight="1" x14ac:dyDescent="0.25">
      <c r="A55" s="23" t="s">
        <v>157</v>
      </c>
      <c r="B55" s="24" t="s">
        <v>158</v>
      </c>
      <c r="C55" s="25" t="s">
        <v>33</v>
      </c>
      <c r="D55" s="5"/>
      <c r="E55" s="12" t="s">
        <v>312</v>
      </c>
      <c r="F55" s="12">
        <v>0</v>
      </c>
      <c r="G55" s="104">
        <v>0</v>
      </c>
      <c r="H55" s="104">
        <v>0</v>
      </c>
      <c r="I55" s="104">
        <v>0</v>
      </c>
      <c r="J55" s="60"/>
      <c r="K55" s="46" t="s">
        <v>377</v>
      </c>
      <c r="L55" s="46"/>
      <c r="M55" s="52"/>
      <c r="N55" s="48"/>
    </row>
    <row r="56" spans="1:14" ht="45" customHeight="1" x14ac:dyDescent="0.25">
      <c r="A56" s="23" t="s">
        <v>264</v>
      </c>
      <c r="B56" s="24" t="s">
        <v>136</v>
      </c>
      <c r="C56" s="25" t="s">
        <v>33</v>
      </c>
      <c r="D56" s="6" t="s">
        <v>93</v>
      </c>
      <c r="E56" s="12" t="s">
        <v>1</v>
      </c>
      <c r="F56" s="12">
        <v>1</v>
      </c>
      <c r="G56" s="104">
        <v>1</v>
      </c>
      <c r="H56" s="104">
        <v>1</v>
      </c>
      <c r="I56" s="104">
        <v>1</v>
      </c>
      <c r="J56" s="60" t="s">
        <v>670</v>
      </c>
      <c r="K56" s="46" t="s">
        <v>378</v>
      </c>
      <c r="L56" s="46" t="s">
        <v>464</v>
      </c>
      <c r="M56" s="52"/>
      <c r="N56" s="48"/>
    </row>
    <row r="57" spans="1:14" ht="240" hidden="1" x14ac:dyDescent="0.25">
      <c r="A57" s="23" t="s">
        <v>266</v>
      </c>
      <c r="B57" s="24" t="s">
        <v>159</v>
      </c>
      <c r="C57" s="25" t="s">
        <v>41</v>
      </c>
      <c r="D57" s="5"/>
      <c r="E57" s="64" t="s">
        <v>599</v>
      </c>
      <c r="F57" s="12">
        <v>0</v>
      </c>
      <c r="G57" s="104">
        <v>0</v>
      </c>
      <c r="H57" s="104">
        <v>0</v>
      </c>
      <c r="I57" s="104">
        <v>1</v>
      </c>
      <c r="J57" s="60"/>
      <c r="K57" s="46" t="s">
        <v>379</v>
      </c>
      <c r="L57" s="46" t="s">
        <v>176</v>
      </c>
      <c r="M57" s="51"/>
      <c r="N57" s="48"/>
    </row>
    <row r="58" spans="1:14" ht="100.15" customHeight="1" x14ac:dyDescent="0.25">
      <c r="A58" s="23" t="s">
        <v>25</v>
      </c>
      <c r="B58" s="24" t="s">
        <v>226</v>
      </c>
      <c r="C58" s="25">
        <v>1</v>
      </c>
      <c r="D58" s="11" t="s">
        <v>100</v>
      </c>
      <c r="E58" s="64" t="s">
        <v>600</v>
      </c>
      <c r="F58" s="12">
        <v>9</v>
      </c>
      <c r="G58" s="104">
        <v>4</v>
      </c>
      <c r="H58" s="104">
        <v>6</v>
      </c>
      <c r="I58" s="104">
        <v>8</v>
      </c>
      <c r="J58" s="107" t="s">
        <v>656</v>
      </c>
      <c r="K58" s="46" t="s">
        <v>381</v>
      </c>
      <c r="L58" s="46" t="s">
        <v>465</v>
      </c>
      <c r="M58" s="51"/>
      <c r="N58" s="48"/>
    </row>
    <row r="59" spans="1:14" ht="30" hidden="1" customHeight="1" x14ac:dyDescent="0.25">
      <c r="A59" s="23" t="s">
        <v>55</v>
      </c>
      <c r="B59" s="24" t="s">
        <v>588</v>
      </c>
      <c r="C59" s="25" t="s">
        <v>37</v>
      </c>
      <c r="D59" s="11" t="s">
        <v>100</v>
      </c>
      <c r="E59" s="12" t="s">
        <v>1</v>
      </c>
      <c r="F59" s="12">
        <v>0</v>
      </c>
      <c r="G59" s="104">
        <v>0</v>
      </c>
      <c r="H59" s="104">
        <v>0</v>
      </c>
      <c r="I59" s="104">
        <v>0</v>
      </c>
      <c r="J59" s="107" t="s">
        <v>642</v>
      </c>
      <c r="K59" s="46" t="s">
        <v>382</v>
      </c>
      <c r="L59" s="46" t="s">
        <v>466</v>
      </c>
      <c r="M59" s="51"/>
      <c r="N59" s="48"/>
    </row>
    <row r="60" spans="1:14" ht="45" hidden="1" x14ac:dyDescent="0.25">
      <c r="A60" s="23" t="s">
        <v>26</v>
      </c>
      <c r="B60" s="24" t="s">
        <v>70</v>
      </c>
      <c r="C60" s="25">
        <v>14</v>
      </c>
      <c r="D60" s="11"/>
      <c r="E60" s="65" t="s">
        <v>312</v>
      </c>
      <c r="F60" s="12">
        <v>0</v>
      </c>
      <c r="G60" s="104">
        <v>0</v>
      </c>
      <c r="H60" s="104">
        <v>0</v>
      </c>
      <c r="I60" s="104">
        <v>0</v>
      </c>
      <c r="J60" s="105" t="s">
        <v>622</v>
      </c>
      <c r="K60" s="46" t="s">
        <v>383</v>
      </c>
      <c r="L60" s="46" t="s">
        <v>467</v>
      </c>
      <c r="M60" s="48"/>
      <c r="N60" s="48"/>
    </row>
    <row r="61" spans="1:14" ht="30" hidden="1" x14ac:dyDescent="0.25">
      <c r="A61" s="23" t="s">
        <v>26</v>
      </c>
      <c r="B61" s="24" t="s">
        <v>267</v>
      </c>
      <c r="C61" s="25">
        <v>1</v>
      </c>
      <c r="D61" s="11"/>
      <c r="E61" s="12" t="s">
        <v>1</v>
      </c>
      <c r="F61" s="12">
        <v>0</v>
      </c>
      <c r="G61" s="104">
        <v>0</v>
      </c>
      <c r="H61" s="104">
        <v>0</v>
      </c>
      <c r="I61" s="104">
        <v>1</v>
      </c>
      <c r="J61" s="107" t="s">
        <v>643</v>
      </c>
      <c r="K61" s="46" t="s">
        <v>384</v>
      </c>
      <c r="L61" s="56" t="s">
        <v>468</v>
      </c>
      <c r="M61" s="48"/>
      <c r="N61" s="48"/>
    </row>
    <row r="62" spans="1:14" ht="90" hidden="1" x14ac:dyDescent="0.25">
      <c r="A62" s="23" t="s">
        <v>26</v>
      </c>
      <c r="B62" s="24" t="s">
        <v>268</v>
      </c>
      <c r="C62" s="25" t="s">
        <v>167</v>
      </c>
      <c r="D62" s="11"/>
      <c r="E62" s="65" t="s">
        <v>312</v>
      </c>
      <c r="F62" s="12">
        <v>0</v>
      </c>
      <c r="G62" s="104">
        <v>0</v>
      </c>
      <c r="H62" s="104">
        <v>0</v>
      </c>
      <c r="I62" s="104">
        <v>3</v>
      </c>
      <c r="J62" s="107" t="s">
        <v>643</v>
      </c>
      <c r="K62" s="46" t="s">
        <v>385</v>
      </c>
      <c r="L62" s="56" t="s">
        <v>469</v>
      </c>
      <c r="M62" s="48"/>
      <c r="N62" s="48"/>
    </row>
    <row r="63" spans="1:14" ht="60" hidden="1" x14ac:dyDescent="0.25">
      <c r="A63" s="23" t="s">
        <v>26</v>
      </c>
      <c r="B63" s="24" t="s">
        <v>386</v>
      </c>
      <c r="C63" s="25" t="s">
        <v>46</v>
      </c>
      <c r="D63" s="11"/>
      <c r="E63" s="12" t="s">
        <v>1</v>
      </c>
      <c r="F63" s="12">
        <v>0</v>
      </c>
      <c r="G63" s="104">
        <v>0</v>
      </c>
      <c r="H63" s="104">
        <v>0</v>
      </c>
      <c r="I63" s="104">
        <v>1</v>
      </c>
      <c r="J63" s="60"/>
      <c r="K63" s="46" t="s">
        <v>387</v>
      </c>
      <c r="L63" s="56" t="s">
        <v>470</v>
      </c>
      <c r="M63" s="48"/>
      <c r="N63" s="48"/>
    </row>
    <row r="64" spans="1:14" ht="45" hidden="1" x14ac:dyDescent="0.25">
      <c r="A64" s="23" t="s">
        <v>26</v>
      </c>
      <c r="B64" s="24" t="s">
        <v>236</v>
      </c>
      <c r="C64" s="25" t="s">
        <v>39</v>
      </c>
      <c r="D64" s="11"/>
      <c r="E64" s="64" t="s">
        <v>601</v>
      </c>
      <c r="F64" s="12">
        <v>0</v>
      </c>
      <c r="G64" s="104">
        <v>0</v>
      </c>
      <c r="H64" s="104">
        <v>0</v>
      </c>
      <c r="I64" s="104">
        <v>5</v>
      </c>
      <c r="J64" s="107" t="s">
        <v>644</v>
      </c>
      <c r="K64" s="46" t="s">
        <v>388</v>
      </c>
      <c r="L64" s="56" t="s">
        <v>471</v>
      </c>
      <c r="M64" s="48"/>
      <c r="N64" s="48"/>
    </row>
    <row r="65" spans="1:14" ht="30" hidden="1" x14ac:dyDescent="0.25">
      <c r="A65" s="23" t="s">
        <v>235</v>
      </c>
      <c r="B65" s="24" t="s">
        <v>390</v>
      </c>
      <c r="C65" s="25">
        <v>9</v>
      </c>
      <c r="D65" s="11"/>
      <c r="E65" s="12" t="s">
        <v>1</v>
      </c>
      <c r="F65" s="12">
        <v>0</v>
      </c>
      <c r="G65" s="104">
        <v>0</v>
      </c>
      <c r="H65" s="104">
        <v>0</v>
      </c>
      <c r="I65" s="104">
        <v>1</v>
      </c>
      <c r="J65" s="60"/>
      <c r="K65" s="46" t="s">
        <v>389</v>
      </c>
      <c r="L65" s="56" t="s">
        <v>472</v>
      </c>
      <c r="M65" s="51"/>
      <c r="N65" s="48"/>
    </row>
    <row r="66" spans="1:14" ht="30" hidden="1" x14ac:dyDescent="0.25">
      <c r="A66" s="23" t="s">
        <v>235</v>
      </c>
      <c r="B66" s="24" t="s">
        <v>391</v>
      </c>
      <c r="C66" s="25">
        <v>10</v>
      </c>
      <c r="D66" s="11"/>
      <c r="E66" s="12" t="s">
        <v>1</v>
      </c>
      <c r="F66" s="12">
        <v>0</v>
      </c>
      <c r="G66" s="104">
        <v>0</v>
      </c>
      <c r="H66" s="104">
        <v>0</v>
      </c>
      <c r="I66" s="104">
        <v>1</v>
      </c>
      <c r="J66" s="60"/>
      <c r="K66" s="46" t="s">
        <v>392</v>
      </c>
      <c r="L66" s="46" t="s">
        <v>473</v>
      </c>
      <c r="M66" s="51"/>
      <c r="N66" s="48"/>
    </row>
    <row r="67" spans="1:14" ht="45" hidden="1" x14ac:dyDescent="0.25">
      <c r="A67" s="23" t="s">
        <v>235</v>
      </c>
      <c r="B67" s="24" t="s">
        <v>395</v>
      </c>
      <c r="C67" s="25" t="s">
        <v>233</v>
      </c>
      <c r="D67" s="11"/>
      <c r="E67" s="12" t="s">
        <v>1</v>
      </c>
      <c r="F67" s="12">
        <v>0</v>
      </c>
      <c r="G67" s="104">
        <v>0</v>
      </c>
      <c r="H67" s="104">
        <v>0</v>
      </c>
      <c r="I67" s="104">
        <v>1</v>
      </c>
      <c r="J67" s="60" t="s">
        <v>645</v>
      </c>
      <c r="K67" s="46" t="s">
        <v>393</v>
      </c>
      <c r="L67" s="46" t="s">
        <v>474</v>
      </c>
      <c r="M67" s="51"/>
      <c r="N67" s="48"/>
    </row>
    <row r="68" spans="1:14" ht="41.45" hidden="1" customHeight="1" x14ac:dyDescent="0.25">
      <c r="A68" s="23" t="s">
        <v>235</v>
      </c>
      <c r="B68" s="24" t="s">
        <v>394</v>
      </c>
      <c r="C68" s="25" t="s">
        <v>237</v>
      </c>
      <c r="D68" s="11"/>
      <c r="E68" s="12" t="s">
        <v>1</v>
      </c>
      <c r="F68" s="12">
        <v>0</v>
      </c>
      <c r="G68" s="104">
        <v>0</v>
      </c>
      <c r="H68" s="104">
        <v>0</v>
      </c>
      <c r="I68" s="104">
        <v>1</v>
      </c>
      <c r="J68" s="60"/>
      <c r="K68" s="46" t="s">
        <v>396</v>
      </c>
      <c r="L68" s="46" t="s">
        <v>475</v>
      </c>
      <c r="M68" s="51"/>
      <c r="N68" s="48"/>
    </row>
    <row r="69" spans="1:14" ht="270" hidden="1" x14ac:dyDescent="0.25">
      <c r="A69" s="23" t="s">
        <v>27</v>
      </c>
      <c r="B69" s="24" t="s">
        <v>399</v>
      </c>
      <c r="C69" s="25" t="s">
        <v>53</v>
      </c>
      <c r="D69" s="11" t="s">
        <v>100</v>
      </c>
      <c r="E69" s="12" t="s">
        <v>57</v>
      </c>
      <c r="F69" s="12">
        <v>0</v>
      </c>
      <c r="G69" s="104">
        <v>0</v>
      </c>
      <c r="H69" s="104">
        <v>0</v>
      </c>
      <c r="I69" s="104">
        <v>1</v>
      </c>
      <c r="J69" s="105" t="s">
        <v>623</v>
      </c>
      <c r="K69" s="46" t="s">
        <v>397</v>
      </c>
      <c r="L69" s="46" t="s">
        <v>476</v>
      </c>
      <c r="M69" s="51"/>
      <c r="N69" s="48"/>
    </row>
    <row r="70" spans="1:14" ht="150" hidden="1" x14ac:dyDescent="0.25">
      <c r="A70" s="23" t="s">
        <v>27</v>
      </c>
      <c r="B70" s="24" t="s">
        <v>400</v>
      </c>
      <c r="C70" s="25" t="s">
        <v>238</v>
      </c>
      <c r="D70" s="11" t="s">
        <v>100</v>
      </c>
      <c r="E70" s="12" t="s">
        <v>1</v>
      </c>
      <c r="F70" s="12">
        <v>0</v>
      </c>
      <c r="G70" s="104">
        <v>0</v>
      </c>
      <c r="H70" s="104">
        <v>0</v>
      </c>
      <c r="I70" s="104">
        <v>1</v>
      </c>
      <c r="J70" s="105" t="s">
        <v>623</v>
      </c>
      <c r="K70" s="46" t="s">
        <v>398</v>
      </c>
      <c r="L70" s="46" t="s">
        <v>477</v>
      </c>
      <c r="M70" s="51"/>
      <c r="N70" s="48"/>
    </row>
    <row r="71" spans="1:14" ht="30" x14ac:dyDescent="0.25">
      <c r="A71" s="23" t="s">
        <v>28</v>
      </c>
      <c r="B71" s="24" t="s">
        <v>239</v>
      </c>
      <c r="C71" s="25" t="s">
        <v>33</v>
      </c>
      <c r="D71" s="11" t="s">
        <v>0</v>
      </c>
      <c r="E71" s="12" t="s">
        <v>1</v>
      </c>
      <c r="F71" s="12">
        <v>1</v>
      </c>
      <c r="G71" s="104">
        <v>0</v>
      </c>
      <c r="H71" s="104">
        <v>1</v>
      </c>
      <c r="I71" s="104">
        <v>0</v>
      </c>
      <c r="J71" s="60" t="s">
        <v>671</v>
      </c>
      <c r="K71" s="46" t="s">
        <v>401</v>
      </c>
      <c r="L71" s="46" t="s">
        <v>478</v>
      </c>
      <c r="M71" s="51"/>
      <c r="N71" s="48"/>
    </row>
    <row r="72" spans="1:14" ht="75" x14ac:dyDescent="0.25">
      <c r="A72" s="23" t="s">
        <v>28</v>
      </c>
      <c r="B72" s="24" t="s">
        <v>240</v>
      </c>
      <c r="C72" s="25" t="s">
        <v>151</v>
      </c>
      <c r="D72" s="11" t="s">
        <v>0</v>
      </c>
      <c r="E72" s="12" t="s">
        <v>1</v>
      </c>
      <c r="F72" s="12">
        <v>2</v>
      </c>
      <c r="G72" s="104">
        <v>0</v>
      </c>
      <c r="H72" s="104">
        <v>2</v>
      </c>
      <c r="I72" s="104">
        <v>2</v>
      </c>
      <c r="J72" s="105"/>
      <c r="K72" s="46" t="s">
        <v>402</v>
      </c>
      <c r="L72" s="46" t="s">
        <v>479</v>
      </c>
      <c r="M72" s="51"/>
      <c r="N72" s="48"/>
    </row>
    <row r="73" spans="1:14" ht="255" x14ac:dyDescent="0.25">
      <c r="A73" s="23" t="s">
        <v>28</v>
      </c>
      <c r="B73" s="24" t="s">
        <v>241</v>
      </c>
      <c r="C73" s="25" t="s">
        <v>43</v>
      </c>
      <c r="D73" s="11" t="s">
        <v>0</v>
      </c>
      <c r="E73" s="12" t="s">
        <v>1</v>
      </c>
      <c r="F73" s="12">
        <v>2</v>
      </c>
      <c r="G73" s="104">
        <v>2</v>
      </c>
      <c r="H73" s="104">
        <v>2</v>
      </c>
      <c r="I73" s="104">
        <v>1</v>
      </c>
      <c r="J73" s="105" t="s">
        <v>693</v>
      </c>
      <c r="K73" s="46" t="s">
        <v>403</v>
      </c>
      <c r="L73" s="46" t="s">
        <v>480</v>
      </c>
      <c r="M73" s="51"/>
      <c r="N73" s="48"/>
    </row>
    <row r="74" spans="1:14" ht="165" hidden="1" x14ac:dyDescent="0.25">
      <c r="A74" s="23" t="s">
        <v>29</v>
      </c>
      <c r="B74" s="24" t="s">
        <v>242</v>
      </c>
      <c r="C74" s="25" t="s">
        <v>41</v>
      </c>
      <c r="D74" s="11" t="s">
        <v>100</v>
      </c>
      <c r="E74" s="12" t="s">
        <v>1</v>
      </c>
      <c r="F74" s="12">
        <v>0</v>
      </c>
      <c r="G74" s="104">
        <v>0</v>
      </c>
      <c r="H74" s="104">
        <v>0</v>
      </c>
      <c r="I74" s="104">
        <v>3</v>
      </c>
      <c r="J74" s="105" t="s">
        <v>624</v>
      </c>
      <c r="K74" s="46" t="s">
        <v>404</v>
      </c>
      <c r="L74" s="46" t="s">
        <v>481</v>
      </c>
      <c r="M74" s="52"/>
      <c r="N74" s="48"/>
    </row>
    <row r="75" spans="1:14" ht="135" hidden="1" x14ac:dyDescent="0.25">
      <c r="A75" s="23" t="s">
        <v>30</v>
      </c>
      <c r="B75" s="24" t="s">
        <v>269</v>
      </c>
      <c r="C75" s="25" t="s">
        <v>41</v>
      </c>
      <c r="D75" s="11" t="s">
        <v>94</v>
      </c>
      <c r="E75" s="12" t="s">
        <v>1</v>
      </c>
      <c r="F75" s="12">
        <v>0</v>
      </c>
      <c r="G75" s="104">
        <v>0</v>
      </c>
      <c r="H75" s="104">
        <v>0</v>
      </c>
      <c r="I75" s="104">
        <v>5</v>
      </c>
      <c r="J75" s="105" t="s">
        <v>624</v>
      </c>
      <c r="K75" s="46" t="s">
        <v>405</v>
      </c>
      <c r="L75" s="46" t="s">
        <v>482</v>
      </c>
      <c r="M75" s="51"/>
      <c r="N75" s="48"/>
    </row>
    <row r="76" spans="1:14" ht="45" hidden="1" customHeight="1" x14ac:dyDescent="0.25">
      <c r="A76" s="23" t="s">
        <v>31</v>
      </c>
      <c r="B76" s="24" t="s">
        <v>270</v>
      </c>
      <c r="C76" s="25" t="s">
        <v>33</v>
      </c>
      <c r="D76" s="4"/>
      <c r="E76" s="12" t="s">
        <v>1</v>
      </c>
      <c r="F76" s="12">
        <v>0</v>
      </c>
      <c r="G76" s="104">
        <v>0</v>
      </c>
      <c r="H76" s="104">
        <v>0</v>
      </c>
      <c r="I76" s="104">
        <v>0</v>
      </c>
      <c r="J76" s="60"/>
      <c r="K76" s="46" t="s">
        <v>406</v>
      </c>
      <c r="L76" s="46" t="s">
        <v>483</v>
      </c>
      <c r="M76" s="52"/>
      <c r="N76" s="48"/>
    </row>
    <row r="77" spans="1:14" ht="60" hidden="1" customHeight="1" x14ac:dyDescent="0.25">
      <c r="A77" s="23" t="s">
        <v>32</v>
      </c>
      <c r="B77" s="24" t="s">
        <v>407</v>
      </c>
      <c r="C77" s="25" t="s">
        <v>52</v>
      </c>
      <c r="D77" s="4"/>
      <c r="E77" s="12" t="s">
        <v>1</v>
      </c>
      <c r="F77" s="12">
        <v>0</v>
      </c>
      <c r="G77" s="104">
        <v>0</v>
      </c>
      <c r="H77" s="104">
        <v>0</v>
      </c>
      <c r="I77" s="104">
        <v>1</v>
      </c>
      <c r="J77" s="60"/>
      <c r="K77" s="46" t="s">
        <v>408</v>
      </c>
      <c r="L77" s="46" t="s">
        <v>484</v>
      </c>
      <c r="M77" s="52"/>
      <c r="N77" s="48"/>
    </row>
    <row r="78" spans="1:14" ht="75" x14ac:dyDescent="0.25">
      <c r="A78" s="23" t="s">
        <v>12</v>
      </c>
      <c r="B78" s="24" t="s">
        <v>271</v>
      </c>
      <c r="C78" s="25" t="s">
        <v>33</v>
      </c>
      <c r="D78" s="11" t="s">
        <v>0</v>
      </c>
      <c r="E78" s="12" t="s">
        <v>1</v>
      </c>
      <c r="F78" s="12">
        <v>2</v>
      </c>
      <c r="G78" s="104">
        <v>2</v>
      </c>
      <c r="H78" s="104">
        <v>2</v>
      </c>
      <c r="I78" s="104">
        <v>2</v>
      </c>
      <c r="J78" s="60" t="s">
        <v>646</v>
      </c>
      <c r="K78" s="46" t="s">
        <v>409</v>
      </c>
      <c r="L78" s="46" t="s">
        <v>488</v>
      </c>
      <c r="M78" s="51"/>
      <c r="N78" s="48"/>
    </row>
    <row r="79" spans="1:14" ht="120" x14ac:dyDescent="0.25">
      <c r="A79" s="23" t="s">
        <v>410</v>
      </c>
      <c r="B79" s="24" t="s">
        <v>412</v>
      </c>
      <c r="C79" s="25" t="s">
        <v>33</v>
      </c>
      <c r="D79" s="11" t="s">
        <v>0</v>
      </c>
      <c r="E79" s="12" t="s">
        <v>1</v>
      </c>
      <c r="F79" s="12">
        <v>10</v>
      </c>
      <c r="G79" s="104">
        <v>3</v>
      </c>
      <c r="H79" s="104">
        <v>4</v>
      </c>
      <c r="I79" s="104">
        <v>8</v>
      </c>
      <c r="J79" s="60" t="s">
        <v>689</v>
      </c>
      <c r="K79" s="46" t="s">
        <v>490</v>
      </c>
      <c r="L79" s="46" t="s">
        <v>485</v>
      </c>
      <c r="M79" s="51"/>
      <c r="N79" s="48"/>
    </row>
    <row r="80" spans="1:14" ht="120" hidden="1" x14ac:dyDescent="0.25">
      <c r="A80" s="23" t="s">
        <v>411</v>
      </c>
      <c r="B80" s="24" t="s">
        <v>413</v>
      </c>
      <c r="C80" s="25" t="s">
        <v>33</v>
      </c>
      <c r="D80" s="11" t="s">
        <v>0</v>
      </c>
      <c r="E80" s="12" t="s">
        <v>1</v>
      </c>
      <c r="F80" s="12">
        <v>0</v>
      </c>
      <c r="G80" s="104">
        <v>0</v>
      </c>
      <c r="H80" s="104">
        <v>0</v>
      </c>
      <c r="I80" s="104">
        <v>0</v>
      </c>
      <c r="J80" s="105"/>
      <c r="K80" s="46" t="s">
        <v>489</v>
      </c>
      <c r="L80" s="46" t="s">
        <v>485</v>
      </c>
      <c r="M80" s="51"/>
      <c r="N80" s="48"/>
    </row>
    <row r="81" spans="1:14" ht="75" hidden="1" x14ac:dyDescent="0.25">
      <c r="A81" s="23" t="s">
        <v>10</v>
      </c>
      <c r="B81" s="24" t="s">
        <v>91</v>
      </c>
      <c r="C81" s="25" t="s">
        <v>52</v>
      </c>
      <c r="D81" s="6" t="s">
        <v>100</v>
      </c>
      <c r="E81" s="64" t="s">
        <v>602</v>
      </c>
      <c r="F81" s="12">
        <v>0</v>
      </c>
      <c r="G81" s="104">
        <v>0</v>
      </c>
      <c r="H81" s="104">
        <v>0</v>
      </c>
      <c r="I81" s="104">
        <v>4</v>
      </c>
      <c r="J81" s="107" t="s">
        <v>657</v>
      </c>
      <c r="K81" s="46" t="s">
        <v>492</v>
      </c>
      <c r="L81" s="46" t="s">
        <v>104</v>
      </c>
      <c r="M81" s="51"/>
      <c r="N81" s="48"/>
    </row>
    <row r="82" spans="1:14" ht="75" hidden="1" x14ac:dyDescent="0.25">
      <c r="A82" s="23" t="s">
        <v>59</v>
      </c>
      <c r="B82" s="24" t="s">
        <v>82</v>
      </c>
      <c r="C82" s="25" t="s">
        <v>53</v>
      </c>
      <c r="D82" s="6" t="s">
        <v>100</v>
      </c>
      <c r="E82" s="12" t="s">
        <v>1</v>
      </c>
      <c r="F82" s="12">
        <v>0</v>
      </c>
      <c r="G82" s="104">
        <v>0</v>
      </c>
      <c r="H82" s="104">
        <v>0</v>
      </c>
      <c r="I82" s="104">
        <v>0</v>
      </c>
      <c r="J82" s="60"/>
      <c r="K82" s="46" t="s">
        <v>491</v>
      </c>
      <c r="L82" s="46" t="s">
        <v>105</v>
      </c>
      <c r="M82" s="51"/>
      <c r="N82" s="48"/>
    </row>
    <row r="83" spans="1:14" ht="150" x14ac:dyDescent="0.25">
      <c r="A83" s="23" t="s">
        <v>9</v>
      </c>
      <c r="B83" s="24" t="s">
        <v>92</v>
      </c>
      <c r="C83" s="25" t="s">
        <v>41</v>
      </c>
      <c r="D83" s="11" t="s">
        <v>95</v>
      </c>
      <c r="E83" s="64" t="s">
        <v>313</v>
      </c>
      <c r="F83" s="12">
        <v>1</v>
      </c>
      <c r="G83" s="104">
        <v>1</v>
      </c>
      <c r="H83" s="104">
        <v>1</v>
      </c>
      <c r="I83" s="104">
        <v>1</v>
      </c>
      <c r="J83" s="105" t="s">
        <v>673</v>
      </c>
      <c r="K83" s="46" t="s">
        <v>493</v>
      </c>
      <c r="L83" s="46" t="s">
        <v>106</v>
      </c>
      <c r="M83" s="51"/>
      <c r="N83" s="48"/>
    </row>
    <row r="84" spans="1:14" ht="60" x14ac:dyDescent="0.25">
      <c r="A84" s="23" t="s">
        <v>8</v>
      </c>
      <c r="B84" s="24" t="s">
        <v>139</v>
      </c>
      <c r="C84" s="25">
        <v>1</v>
      </c>
      <c r="D84" s="11" t="s">
        <v>95</v>
      </c>
      <c r="E84" s="12" t="s">
        <v>1</v>
      </c>
      <c r="F84" s="12">
        <v>1</v>
      </c>
      <c r="G84" s="104">
        <v>0</v>
      </c>
      <c r="H84" s="104">
        <v>0</v>
      </c>
      <c r="I84" s="104">
        <v>1</v>
      </c>
      <c r="J84" s="105" t="s">
        <v>672</v>
      </c>
      <c r="K84" s="46" t="s">
        <v>496</v>
      </c>
      <c r="L84" s="46" t="s">
        <v>140</v>
      </c>
      <c r="M84" s="51"/>
      <c r="N84" s="48"/>
    </row>
    <row r="85" spans="1:14" ht="60" hidden="1" x14ac:dyDescent="0.25">
      <c r="A85" s="23" t="s">
        <v>8</v>
      </c>
      <c r="B85" s="24" t="s">
        <v>494</v>
      </c>
      <c r="C85" s="25">
        <v>2</v>
      </c>
      <c r="D85" s="6" t="s">
        <v>96</v>
      </c>
      <c r="E85" s="12" t="s">
        <v>1</v>
      </c>
      <c r="F85" s="12">
        <v>0</v>
      </c>
      <c r="G85" s="104">
        <v>0</v>
      </c>
      <c r="H85" s="104">
        <v>0</v>
      </c>
      <c r="I85" s="104">
        <v>1</v>
      </c>
      <c r="J85" s="105" t="s">
        <v>625</v>
      </c>
      <c r="K85" s="46" t="s">
        <v>497</v>
      </c>
      <c r="L85" s="46" t="s">
        <v>107</v>
      </c>
      <c r="M85" s="51"/>
      <c r="N85" s="48"/>
    </row>
    <row r="86" spans="1:14" ht="120" hidden="1" x14ac:dyDescent="0.25">
      <c r="A86" s="23" t="s">
        <v>8</v>
      </c>
      <c r="B86" s="24" t="s">
        <v>495</v>
      </c>
      <c r="C86" s="58" t="s">
        <v>34</v>
      </c>
      <c r="D86" s="6" t="s">
        <v>96</v>
      </c>
      <c r="E86" s="12" t="s">
        <v>1</v>
      </c>
      <c r="F86" s="12">
        <v>0</v>
      </c>
      <c r="G86" s="104">
        <v>0</v>
      </c>
      <c r="H86" s="104">
        <v>0</v>
      </c>
      <c r="I86" s="104">
        <v>0</v>
      </c>
      <c r="J86" s="60"/>
      <c r="K86" s="46" t="s">
        <v>498</v>
      </c>
      <c r="L86" s="46"/>
      <c r="M86" s="51"/>
      <c r="N86" s="48"/>
    </row>
    <row r="87" spans="1:14" ht="105" hidden="1" x14ac:dyDescent="0.25">
      <c r="A87" s="23" t="s">
        <v>7</v>
      </c>
      <c r="B87" s="24" t="s">
        <v>500</v>
      </c>
      <c r="C87" s="25" t="s">
        <v>41</v>
      </c>
      <c r="D87" s="6" t="s">
        <v>95</v>
      </c>
      <c r="E87" s="12" t="s">
        <v>1</v>
      </c>
      <c r="F87" s="12">
        <v>0</v>
      </c>
      <c r="G87" s="104">
        <v>0</v>
      </c>
      <c r="H87" s="104">
        <v>0</v>
      </c>
      <c r="I87" s="104">
        <v>0</v>
      </c>
      <c r="J87" s="105" t="s">
        <v>627</v>
      </c>
      <c r="K87" s="46" t="s">
        <v>626</v>
      </c>
      <c r="L87" s="46" t="s">
        <v>499</v>
      </c>
      <c r="M87" s="51"/>
      <c r="N87" s="48"/>
    </row>
    <row r="88" spans="1:14" ht="45" hidden="1" x14ac:dyDescent="0.25">
      <c r="A88" s="23" t="s">
        <v>272</v>
      </c>
      <c r="B88" s="24" t="s">
        <v>273</v>
      </c>
      <c r="C88" s="25" t="s">
        <v>501</v>
      </c>
      <c r="D88" s="6" t="s">
        <v>95</v>
      </c>
      <c r="E88" s="12" t="s">
        <v>1</v>
      </c>
      <c r="F88" s="12">
        <v>0</v>
      </c>
      <c r="G88" s="104">
        <v>0</v>
      </c>
      <c r="H88" s="104">
        <v>0</v>
      </c>
      <c r="I88" s="104">
        <v>1</v>
      </c>
      <c r="J88" s="107" t="s">
        <v>647</v>
      </c>
      <c r="K88" s="46" t="s">
        <v>504</v>
      </c>
      <c r="L88" s="46" t="s">
        <v>275</v>
      </c>
      <c r="M88" s="51"/>
      <c r="N88" s="48"/>
    </row>
    <row r="89" spans="1:14" ht="90" hidden="1" x14ac:dyDescent="0.25">
      <c r="A89" s="23" t="s">
        <v>274</v>
      </c>
      <c r="B89" s="24" t="s">
        <v>503</v>
      </c>
      <c r="C89" s="25" t="s">
        <v>502</v>
      </c>
      <c r="D89" s="6" t="s">
        <v>95</v>
      </c>
      <c r="E89" s="12" t="s">
        <v>1</v>
      </c>
      <c r="F89" s="12">
        <v>0</v>
      </c>
      <c r="G89" s="104">
        <v>0</v>
      </c>
      <c r="H89" s="104">
        <v>0</v>
      </c>
      <c r="I89" s="104">
        <v>1</v>
      </c>
      <c r="J89" s="107" t="s">
        <v>648</v>
      </c>
      <c r="K89" s="46" t="s">
        <v>628</v>
      </c>
      <c r="L89" s="46" t="s">
        <v>276</v>
      </c>
      <c r="M89" s="51"/>
      <c r="N89" s="48"/>
    </row>
    <row r="90" spans="1:14" ht="135" x14ac:dyDescent="0.25">
      <c r="A90" s="23" t="s">
        <v>6</v>
      </c>
      <c r="B90" s="24" t="s">
        <v>277</v>
      </c>
      <c r="C90" s="25" t="s">
        <v>33</v>
      </c>
      <c r="D90" s="11" t="s">
        <v>674</v>
      </c>
      <c r="E90" s="64" t="s">
        <v>603</v>
      </c>
      <c r="F90" s="12">
        <v>2</v>
      </c>
      <c r="G90" s="104">
        <v>0</v>
      </c>
      <c r="H90" s="104">
        <v>0</v>
      </c>
      <c r="I90" s="104">
        <v>0</v>
      </c>
      <c r="J90" s="105"/>
      <c r="K90" s="46" t="s">
        <v>505</v>
      </c>
      <c r="L90" s="46" t="s">
        <v>282</v>
      </c>
      <c r="M90" s="51"/>
      <c r="N90" s="48"/>
    </row>
    <row r="91" spans="1:14" ht="75" x14ac:dyDescent="0.25">
      <c r="A91" s="23" t="s">
        <v>6</v>
      </c>
      <c r="B91" s="24" t="s">
        <v>278</v>
      </c>
      <c r="C91" s="25" t="s">
        <v>34</v>
      </c>
      <c r="D91" s="11" t="s">
        <v>675</v>
      </c>
      <c r="E91" s="64" t="s">
        <v>603</v>
      </c>
      <c r="F91" s="12">
        <v>1</v>
      </c>
      <c r="G91" s="104">
        <v>1</v>
      </c>
      <c r="H91" s="104">
        <v>1</v>
      </c>
      <c r="I91" s="104">
        <v>1</v>
      </c>
      <c r="J91" s="105" t="s">
        <v>676</v>
      </c>
      <c r="K91" s="46" t="s">
        <v>506</v>
      </c>
      <c r="L91" s="46" t="s">
        <v>316</v>
      </c>
      <c r="M91" s="51"/>
      <c r="N91" s="48"/>
    </row>
    <row r="92" spans="1:14" ht="75" x14ac:dyDescent="0.25">
      <c r="A92" s="23" t="s">
        <v>6</v>
      </c>
      <c r="B92" s="24" t="s">
        <v>279</v>
      </c>
      <c r="C92" s="25" t="s">
        <v>46</v>
      </c>
      <c r="D92" s="11"/>
      <c r="E92" s="64" t="s">
        <v>603</v>
      </c>
      <c r="F92" s="12">
        <v>2</v>
      </c>
      <c r="G92" s="104">
        <v>2</v>
      </c>
      <c r="H92" s="104">
        <v>2</v>
      </c>
      <c r="I92" s="104">
        <v>2</v>
      </c>
      <c r="J92" s="105" t="s">
        <v>676</v>
      </c>
      <c r="K92" s="46" t="s">
        <v>507</v>
      </c>
      <c r="L92" s="46" t="s">
        <v>283</v>
      </c>
      <c r="M92" s="51"/>
      <c r="N92" s="48"/>
    </row>
    <row r="93" spans="1:14" ht="75" hidden="1" x14ac:dyDescent="0.25">
      <c r="A93" s="23" t="s">
        <v>6</v>
      </c>
      <c r="B93" s="24" t="s">
        <v>508</v>
      </c>
      <c r="C93" s="25">
        <v>7</v>
      </c>
      <c r="D93" s="11"/>
      <c r="E93" s="12" t="s">
        <v>1</v>
      </c>
      <c r="F93" s="12">
        <v>0</v>
      </c>
      <c r="G93" s="104">
        <v>0</v>
      </c>
      <c r="H93" s="104">
        <v>0</v>
      </c>
      <c r="I93" s="104">
        <v>2</v>
      </c>
      <c r="J93" s="107" t="s">
        <v>649</v>
      </c>
      <c r="K93" s="46" t="s">
        <v>629</v>
      </c>
      <c r="L93" s="46" t="s">
        <v>631</v>
      </c>
      <c r="M93" s="51"/>
      <c r="N93" s="48"/>
    </row>
    <row r="94" spans="1:14" ht="75" hidden="1" x14ac:dyDescent="0.25">
      <c r="A94" s="23" t="s">
        <v>63</v>
      </c>
      <c r="B94" s="24" t="s">
        <v>508</v>
      </c>
      <c r="C94" s="25">
        <v>7</v>
      </c>
      <c r="D94" s="11"/>
      <c r="E94" s="12" t="s">
        <v>1</v>
      </c>
      <c r="F94" s="12">
        <v>0</v>
      </c>
      <c r="G94" s="104">
        <v>0</v>
      </c>
      <c r="H94" s="104">
        <v>0</v>
      </c>
      <c r="I94" s="104">
        <v>0</v>
      </c>
      <c r="J94" s="60"/>
      <c r="K94" s="46" t="s">
        <v>630</v>
      </c>
      <c r="L94" s="46" t="s">
        <v>284</v>
      </c>
      <c r="M94" s="51"/>
      <c r="N94" s="48"/>
    </row>
    <row r="95" spans="1:14" ht="165" x14ac:dyDescent="0.25">
      <c r="A95" s="23" t="s">
        <v>63</v>
      </c>
      <c r="B95" s="24" t="s">
        <v>510</v>
      </c>
      <c r="C95" s="25" t="s">
        <v>161</v>
      </c>
      <c r="D95" s="11"/>
      <c r="E95" s="12" t="s">
        <v>1</v>
      </c>
      <c r="F95" s="12">
        <v>1</v>
      </c>
      <c r="G95" s="104">
        <v>0</v>
      </c>
      <c r="H95" s="104">
        <v>0</v>
      </c>
      <c r="I95" s="104">
        <v>1</v>
      </c>
      <c r="J95" s="60" t="s">
        <v>677</v>
      </c>
      <c r="K95" s="46" t="s">
        <v>509</v>
      </c>
      <c r="L95" s="46" t="s">
        <v>280</v>
      </c>
      <c r="M95" s="51"/>
      <c r="N95" s="48"/>
    </row>
    <row r="96" spans="1:14" ht="45" x14ac:dyDescent="0.25">
      <c r="A96" s="23" t="s">
        <v>63</v>
      </c>
      <c r="B96" s="24" t="s">
        <v>511</v>
      </c>
      <c r="C96" s="25">
        <v>10</v>
      </c>
      <c r="D96" s="11"/>
      <c r="E96" s="12" t="s">
        <v>1</v>
      </c>
      <c r="F96" s="12">
        <v>1</v>
      </c>
      <c r="G96" s="104">
        <v>0</v>
      </c>
      <c r="H96" s="104">
        <v>0</v>
      </c>
      <c r="I96" s="104">
        <v>1</v>
      </c>
      <c r="J96" s="107" t="s">
        <v>650</v>
      </c>
      <c r="K96" s="46" t="s">
        <v>512</v>
      </c>
      <c r="L96" s="46" t="s">
        <v>285</v>
      </c>
      <c r="M96" s="51"/>
      <c r="N96" s="48"/>
    </row>
    <row r="97" spans="1:14" ht="60" x14ac:dyDescent="0.25">
      <c r="A97" s="23" t="s">
        <v>5</v>
      </c>
      <c r="B97" s="24" t="s">
        <v>163</v>
      </c>
      <c r="C97" s="25" t="s">
        <v>52</v>
      </c>
      <c r="D97" s="5"/>
      <c r="E97" s="12" t="s">
        <v>1</v>
      </c>
      <c r="F97" s="12">
        <v>1</v>
      </c>
      <c r="G97" s="104">
        <v>0</v>
      </c>
      <c r="H97" s="104">
        <v>0</v>
      </c>
      <c r="I97" s="104">
        <v>1</v>
      </c>
      <c r="J97" s="60" t="s">
        <v>678</v>
      </c>
      <c r="K97" s="46" t="s">
        <v>513</v>
      </c>
      <c r="L97" s="46" t="s">
        <v>281</v>
      </c>
      <c r="M97" s="52"/>
      <c r="N97" s="48"/>
    </row>
    <row r="98" spans="1:14" ht="30" hidden="1" x14ac:dyDescent="0.25">
      <c r="A98" s="23" t="s">
        <v>4</v>
      </c>
      <c r="B98" s="24" t="s">
        <v>70</v>
      </c>
      <c r="C98" s="25">
        <v>1</v>
      </c>
      <c r="D98" s="11" t="s">
        <v>97</v>
      </c>
      <c r="E98" s="12" t="s">
        <v>45</v>
      </c>
      <c r="F98" s="12">
        <v>0</v>
      </c>
      <c r="G98" s="104">
        <v>0</v>
      </c>
      <c r="H98" s="104">
        <v>0</v>
      </c>
      <c r="I98" s="104">
        <v>0</v>
      </c>
      <c r="J98" s="105" t="s">
        <v>632</v>
      </c>
      <c r="K98" s="46" t="s">
        <v>514</v>
      </c>
      <c r="L98" s="46" t="s">
        <v>179</v>
      </c>
      <c r="M98" s="51"/>
      <c r="N98" s="48"/>
    </row>
    <row r="99" spans="1:14" ht="195" x14ac:dyDescent="0.25">
      <c r="A99" s="23" t="s">
        <v>4</v>
      </c>
      <c r="B99" s="24" t="s">
        <v>108</v>
      </c>
      <c r="C99" s="25">
        <v>2</v>
      </c>
      <c r="D99" s="11" t="s">
        <v>100</v>
      </c>
      <c r="E99" s="12" t="s">
        <v>1</v>
      </c>
      <c r="F99" s="12">
        <v>1</v>
      </c>
      <c r="G99" s="104">
        <v>0</v>
      </c>
      <c r="H99" s="104">
        <v>1</v>
      </c>
      <c r="I99" s="104">
        <v>0</v>
      </c>
      <c r="J99" s="60" t="s">
        <v>679</v>
      </c>
      <c r="K99" s="46" t="s">
        <v>515</v>
      </c>
      <c r="L99" s="46" t="s">
        <v>120</v>
      </c>
      <c r="M99" s="51"/>
      <c r="N99" s="48"/>
    </row>
    <row r="100" spans="1:14" ht="60" x14ac:dyDescent="0.25">
      <c r="A100" s="23" t="s">
        <v>4</v>
      </c>
      <c r="B100" s="24" t="s">
        <v>516</v>
      </c>
      <c r="C100" s="25">
        <v>3</v>
      </c>
      <c r="D100" s="11" t="s">
        <v>100</v>
      </c>
      <c r="E100" s="12" t="s">
        <v>1</v>
      </c>
      <c r="F100" s="12">
        <v>3</v>
      </c>
      <c r="G100" s="104">
        <v>0</v>
      </c>
      <c r="H100" s="104">
        <v>0</v>
      </c>
      <c r="I100" s="104">
        <v>0</v>
      </c>
      <c r="J100" s="60"/>
      <c r="K100" s="46" t="s">
        <v>633</v>
      </c>
      <c r="L100" s="46" t="s">
        <v>286</v>
      </c>
      <c r="M100" s="51"/>
      <c r="N100" s="48"/>
    </row>
    <row r="101" spans="1:14" ht="60" x14ac:dyDescent="0.25">
      <c r="A101" s="23" t="s">
        <v>64</v>
      </c>
      <c r="B101" s="24" t="s">
        <v>516</v>
      </c>
      <c r="C101" s="25">
        <v>3</v>
      </c>
      <c r="D101" s="11" t="s">
        <v>100</v>
      </c>
      <c r="E101" s="12" t="s">
        <v>1</v>
      </c>
      <c r="F101" s="12">
        <v>1</v>
      </c>
      <c r="G101" s="104">
        <v>0</v>
      </c>
      <c r="H101" s="104">
        <v>0</v>
      </c>
      <c r="I101" s="104">
        <v>0</v>
      </c>
      <c r="J101" s="60"/>
      <c r="K101" s="46" t="s">
        <v>517</v>
      </c>
      <c r="L101" s="46" t="s">
        <v>287</v>
      </c>
      <c r="M101" s="53"/>
      <c r="N101" s="48"/>
    </row>
    <row r="102" spans="1:14" ht="270" x14ac:dyDescent="0.25">
      <c r="A102" s="23" t="s">
        <v>3</v>
      </c>
      <c r="B102" s="24" t="s">
        <v>109</v>
      </c>
      <c r="C102" s="25" t="s">
        <v>41</v>
      </c>
      <c r="D102" s="5"/>
      <c r="E102" s="12" t="s">
        <v>1</v>
      </c>
      <c r="F102" s="12">
        <v>1</v>
      </c>
      <c r="G102" s="104">
        <v>1</v>
      </c>
      <c r="H102" s="104">
        <v>1</v>
      </c>
      <c r="I102" s="104">
        <v>1</v>
      </c>
      <c r="J102" s="60" t="s">
        <v>690</v>
      </c>
      <c r="K102" s="46" t="s">
        <v>518</v>
      </c>
      <c r="L102" s="46" t="s">
        <v>110</v>
      </c>
      <c r="M102" s="52"/>
      <c r="N102" s="48"/>
    </row>
    <row r="103" spans="1:14" ht="195" x14ac:dyDescent="0.25">
      <c r="A103" s="23" t="s">
        <v>2</v>
      </c>
      <c r="B103" s="24" t="s">
        <v>111</v>
      </c>
      <c r="C103" s="25" t="s">
        <v>52</v>
      </c>
      <c r="D103" s="11" t="s">
        <v>95</v>
      </c>
      <c r="E103" s="12" t="s">
        <v>1</v>
      </c>
      <c r="F103" s="12">
        <v>1</v>
      </c>
      <c r="G103" s="104">
        <v>0</v>
      </c>
      <c r="H103" s="104">
        <v>0</v>
      </c>
      <c r="I103" s="104">
        <v>0</v>
      </c>
      <c r="J103" s="60" t="s">
        <v>680</v>
      </c>
      <c r="K103" s="46" t="s">
        <v>519</v>
      </c>
      <c r="L103" s="46" t="s">
        <v>288</v>
      </c>
      <c r="M103" s="51"/>
      <c r="N103" s="48"/>
    </row>
    <row r="104" spans="1:14" ht="165" x14ac:dyDescent="0.25">
      <c r="A104" s="23" t="s">
        <v>186</v>
      </c>
      <c r="B104" s="24" t="s">
        <v>289</v>
      </c>
      <c r="C104" s="25" t="s">
        <v>52</v>
      </c>
      <c r="D104" s="6" t="s">
        <v>94</v>
      </c>
      <c r="E104" s="65" t="s">
        <v>604</v>
      </c>
      <c r="F104" s="104">
        <v>1</v>
      </c>
      <c r="G104" s="104">
        <v>0</v>
      </c>
      <c r="H104" s="104">
        <v>0</v>
      </c>
      <c r="I104" s="104">
        <v>0</v>
      </c>
      <c r="J104" s="105" t="s">
        <v>681</v>
      </c>
      <c r="K104" s="46" t="s">
        <v>520</v>
      </c>
      <c r="L104" s="46" t="s">
        <v>291</v>
      </c>
      <c r="M104" s="51"/>
      <c r="N104" s="48"/>
    </row>
    <row r="105" spans="1:14" ht="195" x14ac:dyDescent="0.25">
      <c r="A105" s="23" t="s">
        <v>186</v>
      </c>
      <c r="B105" s="24" t="s">
        <v>164</v>
      </c>
      <c r="C105" s="25" t="s">
        <v>290</v>
      </c>
      <c r="D105" s="6" t="s">
        <v>94</v>
      </c>
      <c r="E105" s="64" t="s">
        <v>605</v>
      </c>
      <c r="F105" s="12">
        <v>2</v>
      </c>
      <c r="G105" s="104">
        <v>2</v>
      </c>
      <c r="H105" s="104">
        <v>2</v>
      </c>
      <c r="I105" s="104">
        <v>2</v>
      </c>
      <c r="J105" s="60" t="s">
        <v>682</v>
      </c>
      <c r="K105" s="46" t="s">
        <v>521</v>
      </c>
      <c r="L105" s="46" t="s">
        <v>292</v>
      </c>
      <c r="M105" s="51"/>
      <c r="N105" s="48"/>
    </row>
    <row r="106" spans="1:14" ht="75" x14ac:dyDescent="0.25">
      <c r="A106" s="23" t="s">
        <v>186</v>
      </c>
      <c r="B106" s="24" t="s">
        <v>113</v>
      </c>
      <c r="C106" s="25" t="s">
        <v>47</v>
      </c>
      <c r="D106" s="11" t="s">
        <v>98</v>
      </c>
      <c r="E106" s="12" t="s">
        <v>1</v>
      </c>
      <c r="F106" s="12">
        <v>1</v>
      </c>
      <c r="G106" s="104">
        <v>1</v>
      </c>
      <c r="H106" s="104">
        <v>1</v>
      </c>
      <c r="I106" s="104">
        <v>1</v>
      </c>
      <c r="J106" s="60" t="s">
        <v>682</v>
      </c>
      <c r="K106" s="46" t="s">
        <v>522</v>
      </c>
      <c r="L106" s="46" t="s">
        <v>524</v>
      </c>
      <c r="M106" s="51"/>
      <c r="N106" s="48"/>
    </row>
    <row r="107" spans="1:14" ht="45" x14ac:dyDescent="0.25">
      <c r="A107" s="23" t="s">
        <v>583</v>
      </c>
      <c r="B107" s="24" t="s">
        <v>113</v>
      </c>
      <c r="C107" s="25" t="s">
        <v>233</v>
      </c>
      <c r="D107" s="11" t="s">
        <v>98</v>
      </c>
      <c r="E107" s="12" t="s">
        <v>1</v>
      </c>
      <c r="F107" s="12">
        <v>1</v>
      </c>
      <c r="G107" s="104">
        <v>1</v>
      </c>
      <c r="H107" s="104">
        <v>1</v>
      </c>
      <c r="I107" s="104">
        <v>0</v>
      </c>
      <c r="J107" s="107" t="s">
        <v>651</v>
      </c>
      <c r="K107" s="46" t="s">
        <v>523</v>
      </c>
      <c r="L107" s="46" t="s">
        <v>525</v>
      </c>
      <c r="M107" s="51"/>
      <c r="N107" s="48"/>
    </row>
    <row r="108" spans="1:14" ht="75" x14ac:dyDescent="0.25">
      <c r="A108" s="23" t="s">
        <v>578</v>
      </c>
      <c r="B108" s="24" t="s">
        <v>180</v>
      </c>
      <c r="C108" s="25" t="s">
        <v>33</v>
      </c>
      <c r="D108" s="11" t="s">
        <v>98</v>
      </c>
      <c r="E108" s="12" t="s">
        <v>1</v>
      </c>
      <c r="F108" s="12">
        <v>1</v>
      </c>
      <c r="G108" s="104">
        <v>0</v>
      </c>
      <c r="H108" s="104">
        <v>0</v>
      </c>
      <c r="I108" s="104">
        <v>0</v>
      </c>
      <c r="J108" s="107" t="s">
        <v>652</v>
      </c>
      <c r="K108" s="46" t="s">
        <v>526</v>
      </c>
      <c r="L108" s="46" t="s">
        <v>141</v>
      </c>
      <c r="M108" s="51"/>
      <c r="N108" s="48"/>
    </row>
    <row r="109" spans="1:14" ht="45" x14ac:dyDescent="0.25">
      <c r="A109" s="23" t="s">
        <v>584</v>
      </c>
      <c r="B109" s="24" t="s">
        <v>180</v>
      </c>
      <c r="C109" s="25" t="s">
        <v>34</v>
      </c>
      <c r="D109" s="7"/>
      <c r="E109" s="12" t="s">
        <v>1</v>
      </c>
      <c r="F109" s="12">
        <v>1</v>
      </c>
      <c r="G109" s="104">
        <v>0</v>
      </c>
      <c r="H109" s="104">
        <v>0</v>
      </c>
      <c r="I109" s="104">
        <v>0</v>
      </c>
      <c r="J109" s="60"/>
      <c r="K109" s="46" t="s">
        <v>527</v>
      </c>
      <c r="L109" s="46" t="s">
        <v>142</v>
      </c>
      <c r="M109" s="51"/>
      <c r="N109" s="48"/>
    </row>
    <row r="110" spans="1:14" ht="409.5" x14ac:dyDescent="0.25">
      <c r="A110" s="23" t="s">
        <v>586</v>
      </c>
      <c r="B110" s="24" t="s">
        <v>529</v>
      </c>
      <c r="C110" s="25" t="s">
        <v>528</v>
      </c>
      <c r="D110" s="11" t="s">
        <v>94</v>
      </c>
      <c r="E110" s="12" t="s">
        <v>36</v>
      </c>
      <c r="F110" s="12">
        <v>1</v>
      </c>
      <c r="G110" s="104">
        <v>1</v>
      </c>
      <c r="H110" s="104">
        <v>1</v>
      </c>
      <c r="I110" s="104">
        <v>1</v>
      </c>
      <c r="J110" s="60"/>
      <c r="K110" s="46" t="s">
        <v>606</v>
      </c>
      <c r="L110" s="46" t="s">
        <v>199</v>
      </c>
      <c r="M110" s="51"/>
      <c r="N110" s="48"/>
    </row>
    <row r="111" spans="1:14" ht="285" hidden="1" x14ac:dyDescent="0.25">
      <c r="A111" s="23" t="s">
        <v>587</v>
      </c>
      <c r="B111" s="24" t="s">
        <v>608</v>
      </c>
      <c r="C111" s="25" t="s">
        <v>33</v>
      </c>
      <c r="D111" s="11"/>
      <c r="E111" s="12" t="s">
        <v>36</v>
      </c>
      <c r="F111" s="12">
        <v>0</v>
      </c>
      <c r="G111" s="104">
        <v>0</v>
      </c>
      <c r="H111" s="104">
        <v>0</v>
      </c>
      <c r="I111" s="104">
        <v>0</v>
      </c>
      <c r="J111" s="60"/>
      <c r="K111" s="46" t="s">
        <v>611</v>
      </c>
      <c r="L111" s="46"/>
      <c r="M111" s="51"/>
      <c r="N111" s="48"/>
    </row>
    <row r="112" spans="1:14" ht="300" hidden="1" x14ac:dyDescent="0.25">
      <c r="A112" s="23" t="s">
        <v>587</v>
      </c>
      <c r="B112" s="24" t="s">
        <v>609</v>
      </c>
      <c r="C112" s="25" t="s">
        <v>607</v>
      </c>
      <c r="D112" s="11"/>
      <c r="E112" s="12" t="s">
        <v>1</v>
      </c>
      <c r="F112" s="12">
        <v>0</v>
      </c>
      <c r="G112" s="104">
        <v>0</v>
      </c>
      <c r="H112" s="104">
        <v>0</v>
      </c>
      <c r="I112" s="104">
        <v>0</v>
      </c>
      <c r="J112" s="60"/>
      <c r="K112" s="46" t="s">
        <v>610</v>
      </c>
      <c r="L112" s="46"/>
      <c r="M112" s="51"/>
      <c r="N112" s="48"/>
    </row>
    <row r="113" spans="1:14" ht="135" hidden="1" x14ac:dyDescent="0.25">
      <c r="A113" s="23" t="s">
        <v>580</v>
      </c>
      <c r="B113" s="24" t="s">
        <v>530</v>
      </c>
      <c r="C113" s="25" t="s">
        <v>41</v>
      </c>
      <c r="D113" s="6" t="s">
        <v>96</v>
      </c>
      <c r="E113" s="12" t="s">
        <v>1</v>
      </c>
      <c r="F113" s="12">
        <v>0</v>
      </c>
      <c r="G113" s="104">
        <v>0</v>
      </c>
      <c r="H113" s="104">
        <v>0</v>
      </c>
      <c r="I113" s="104">
        <v>0</v>
      </c>
      <c r="J113" s="60"/>
      <c r="K113" s="46" t="s">
        <v>531</v>
      </c>
      <c r="L113" s="46" t="s">
        <v>122</v>
      </c>
      <c r="M113" s="51"/>
      <c r="N113" s="48"/>
    </row>
    <row r="114" spans="1:14" ht="165" x14ac:dyDescent="0.25">
      <c r="A114" s="23" t="s">
        <v>581</v>
      </c>
      <c r="B114" s="24" t="s">
        <v>532</v>
      </c>
      <c r="C114" s="58" t="s">
        <v>52</v>
      </c>
      <c r="D114" s="11" t="s">
        <v>0</v>
      </c>
      <c r="E114" s="12" t="s">
        <v>1</v>
      </c>
      <c r="F114" s="12">
        <v>1</v>
      </c>
      <c r="G114" s="104">
        <v>1</v>
      </c>
      <c r="H114" s="104">
        <v>1</v>
      </c>
      <c r="I114" s="104">
        <v>1</v>
      </c>
      <c r="J114" s="60" t="s">
        <v>691</v>
      </c>
      <c r="K114" s="46" t="s">
        <v>634</v>
      </c>
      <c r="L114" s="46" t="s">
        <v>314</v>
      </c>
      <c r="M114" s="51"/>
      <c r="N114" s="48"/>
    </row>
    <row r="115" spans="1:14" ht="30" hidden="1" x14ac:dyDescent="0.25">
      <c r="A115" s="23" t="s">
        <v>585</v>
      </c>
      <c r="B115" s="24" t="s">
        <v>533</v>
      </c>
      <c r="C115" s="25" t="s">
        <v>48</v>
      </c>
      <c r="D115" s="7" t="s">
        <v>62</v>
      </c>
      <c r="E115" s="12" t="s">
        <v>1</v>
      </c>
      <c r="F115" s="12">
        <v>0</v>
      </c>
      <c r="G115" s="104">
        <v>0</v>
      </c>
      <c r="H115" s="104">
        <v>0</v>
      </c>
      <c r="I115" s="104">
        <v>1</v>
      </c>
      <c r="J115" s="60"/>
      <c r="K115" s="46" t="s">
        <v>534</v>
      </c>
      <c r="L115" s="46" t="s">
        <v>293</v>
      </c>
      <c r="M115" s="51"/>
      <c r="N115" s="48"/>
    </row>
    <row r="116" spans="1:14" ht="45" x14ac:dyDescent="0.25">
      <c r="A116" s="23" t="s">
        <v>187</v>
      </c>
      <c r="B116" s="24" t="s">
        <v>294</v>
      </c>
      <c r="C116" s="25" t="s">
        <v>33</v>
      </c>
      <c r="D116" s="11" t="s">
        <v>0</v>
      </c>
      <c r="E116" s="12" t="s">
        <v>1</v>
      </c>
      <c r="F116" s="12">
        <v>1</v>
      </c>
      <c r="G116" s="104">
        <v>0</v>
      </c>
      <c r="H116" s="104">
        <v>0</v>
      </c>
      <c r="I116" s="104">
        <v>0</v>
      </c>
      <c r="J116" s="60" t="s">
        <v>683</v>
      </c>
      <c r="K116" s="46" t="s">
        <v>535</v>
      </c>
      <c r="L116" s="46" t="s">
        <v>296</v>
      </c>
      <c r="M116" s="51"/>
      <c r="N116" s="48"/>
    </row>
    <row r="117" spans="1:14" ht="105" x14ac:dyDescent="0.25">
      <c r="A117" s="23" t="s">
        <v>187</v>
      </c>
      <c r="B117" s="24" t="s">
        <v>295</v>
      </c>
      <c r="C117" s="25" t="s">
        <v>298</v>
      </c>
      <c r="D117" s="11" t="s">
        <v>0</v>
      </c>
      <c r="E117" s="12" t="s">
        <v>1</v>
      </c>
      <c r="F117" s="12">
        <v>1</v>
      </c>
      <c r="G117" s="104">
        <v>0</v>
      </c>
      <c r="H117" s="104">
        <v>0</v>
      </c>
      <c r="I117" s="104">
        <v>0</v>
      </c>
      <c r="J117" s="60"/>
      <c r="K117" s="46" t="s">
        <v>536</v>
      </c>
      <c r="L117" s="46" t="s">
        <v>297</v>
      </c>
      <c r="M117" s="51"/>
      <c r="N117" s="48"/>
    </row>
    <row r="118" spans="1:14" ht="45" x14ac:dyDescent="0.25">
      <c r="A118" s="23" t="s">
        <v>537</v>
      </c>
      <c r="B118" s="24" t="s">
        <v>181</v>
      </c>
      <c r="C118" s="25">
        <v>1</v>
      </c>
      <c r="D118" s="5"/>
      <c r="E118" s="12" t="s">
        <v>1</v>
      </c>
      <c r="F118" s="12">
        <v>2</v>
      </c>
      <c r="G118" s="104">
        <v>2</v>
      </c>
      <c r="H118" s="104">
        <v>2</v>
      </c>
      <c r="I118" s="104">
        <v>2</v>
      </c>
      <c r="J118" s="105" t="s">
        <v>129</v>
      </c>
      <c r="K118" s="46" t="s">
        <v>544</v>
      </c>
      <c r="L118" s="46" t="s">
        <v>168</v>
      </c>
      <c r="M118" s="51"/>
      <c r="N118" s="48"/>
    </row>
    <row r="119" spans="1:14" ht="90" x14ac:dyDescent="0.25">
      <c r="A119" s="23" t="s">
        <v>537</v>
      </c>
      <c r="B119" s="24" t="s">
        <v>166</v>
      </c>
      <c r="C119" s="25" t="s">
        <v>37</v>
      </c>
      <c r="D119" s="5"/>
      <c r="E119" s="12" t="s">
        <v>1</v>
      </c>
      <c r="F119" s="12">
        <v>1</v>
      </c>
      <c r="G119" s="104">
        <v>0</v>
      </c>
      <c r="H119" s="104">
        <v>0</v>
      </c>
      <c r="I119" s="104">
        <v>0</v>
      </c>
      <c r="J119" s="105" t="s">
        <v>684</v>
      </c>
      <c r="K119" s="46" t="s">
        <v>545</v>
      </c>
      <c r="L119" s="46" t="s">
        <v>169</v>
      </c>
      <c r="M119" s="51"/>
      <c r="N119" s="48"/>
    </row>
    <row r="120" spans="1:14" ht="180" x14ac:dyDescent="0.25">
      <c r="A120" s="23" t="s">
        <v>538</v>
      </c>
      <c r="B120" s="24" t="s">
        <v>300</v>
      </c>
      <c r="C120" s="25" t="s">
        <v>52</v>
      </c>
      <c r="D120" s="11" t="s">
        <v>0</v>
      </c>
      <c r="E120" s="12" t="s">
        <v>1</v>
      </c>
      <c r="F120" s="12">
        <v>2</v>
      </c>
      <c r="G120" s="104">
        <v>2</v>
      </c>
      <c r="H120" s="104">
        <v>2</v>
      </c>
      <c r="I120" s="104">
        <v>2</v>
      </c>
      <c r="J120" s="107" t="s">
        <v>653</v>
      </c>
      <c r="K120" s="46" t="s">
        <v>549</v>
      </c>
      <c r="L120" s="46" t="s">
        <v>546</v>
      </c>
      <c r="M120" s="51"/>
      <c r="N120" s="48"/>
    </row>
    <row r="121" spans="1:14" ht="375" x14ac:dyDescent="0.25">
      <c r="A121" s="23" t="s">
        <v>538</v>
      </c>
      <c r="B121" s="24" t="s">
        <v>301</v>
      </c>
      <c r="C121" s="25" t="s">
        <v>547</v>
      </c>
      <c r="D121" s="11" t="s">
        <v>0</v>
      </c>
      <c r="E121" s="12" t="s">
        <v>1</v>
      </c>
      <c r="F121" s="12">
        <v>1</v>
      </c>
      <c r="G121" s="104">
        <v>1</v>
      </c>
      <c r="H121" s="104">
        <v>1</v>
      </c>
      <c r="I121" s="104">
        <v>1</v>
      </c>
      <c r="J121" s="108"/>
      <c r="K121" s="46" t="s">
        <v>550</v>
      </c>
      <c r="L121" s="46" t="s">
        <v>302</v>
      </c>
      <c r="M121" s="51"/>
      <c r="N121" s="48"/>
    </row>
    <row r="122" spans="1:14" ht="60" x14ac:dyDescent="0.25">
      <c r="A122" s="23" t="s">
        <v>539</v>
      </c>
      <c r="B122" s="24" t="s">
        <v>548</v>
      </c>
      <c r="C122" s="25" t="s">
        <v>230</v>
      </c>
      <c r="D122" s="11" t="s">
        <v>0</v>
      </c>
      <c r="E122" s="12" t="s">
        <v>1</v>
      </c>
      <c r="F122" s="12">
        <v>1</v>
      </c>
      <c r="G122" s="104">
        <v>0</v>
      </c>
      <c r="H122" s="104">
        <v>0</v>
      </c>
      <c r="I122" s="104">
        <v>0</v>
      </c>
      <c r="J122" s="108"/>
      <c r="K122" s="46" t="s">
        <v>551</v>
      </c>
      <c r="L122" s="46" t="s">
        <v>299</v>
      </c>
      <c r="M122" s="51"/>
      <c r="N122" s="48"/>
    </row>
    <row r="123" spans="1:14" ht="30" hidden="1" x14ac:dyDescent="0.25">
      <c r="A123" s="23" t="s">
        <v>540</v>
      </c>
      <c r="B123" s="24" t="s">
        <v>70</v>
      </c>
      <c r="C123" s="25">
        <v>1</v>
      </c>
      <c r="D123" s="11"/>
      <c r="E123" s="12" t="s">
        <v>1</v>
      </c>
      <c r="F123" s="12">
        <v>0</v>
      </c>
      <c r="G123" s="104">
        <v>0</v>
      </c>
      <c r="H123" s="104">
        <v>0</v>
      </c>
      <c r="I123" s="104">
        <v>0</v>
      </c>
      <c r="J123" s="108"/>
      <c r="K123" s="46" t="s">
        <v>635</v>
      </c>
      <c r="L123" s="46"/>
      <c r="M123" s="51"/>
      <c r="N123" s="48"/>
    </row>
    <row r="124" spans="1:14" ht="180" x14ac:dyDescent="0.25">
      <c r="A124" s="23" t="s">
        <v>540</v>
      </c>
      <c r="B124" s="24" t="s">
        <v>143</v>
      </c>
      <c r="C124" s="25" t="s">
        <v>37</v>
      </c>
      <c r="D124" s="5"/>
      <c r="E124" s="12" t="s">
        <v>1</v>
      </c>
      <c r="F124" s="12">
        <v>2</v>
      </c>
      <c r="G124" s="104">
        <v>2</v>
      </c>
      <c r="H124" s="104">
        <v>2</v>
      </c>
      <c r="I124" s="104">
        <v>0</v>
      </c>
      <c r="J124" s="108"/>
      <c r="K124" s="46" t="s">
        <v>636</v>
      </c>
      <c r="L124" s="46" t="s">
        <v>552</v>
      </c>
      <c r="M124" s="52"/>
      <c r="N124" s="48"/>
    </row>
    <row r="125" spans="1:14" ht="30" hidden="1" customHeight="1" x14ac:dyDescent="0.25">
      <c r="A125" s="23" t="s">
        <v>541</v>
      </c>
      <c r="B125" s="24" t="s">
        <v>70</v>
      </c>
      <c r="C125" s="25">
        <v>1</v>
      </c>
      <c r="D125" s="5"/>
      <c r="E125" s="12" t="s">
        <v>1</v>
      </c>
      <c r="F125" s="12">
        <v>0</v>
      </c>
      <c r="G125" s="104">
        <v>0</v>
      </c>
      <c r="H125" s="104">
        <v>0</v>
      </c>
      <c r="I125" s="104">
        <v>0</v>
      </c>
      <c r="J125" s="108"/>
      <c r="K125" s="46" t="s">
        <v>553</v>
      </c>
      <c r="L125" s="46"/>
      <c r="M125" s="52"/>
      <c r="N125" s="48"/>
    </row>
    <row r="126" spans="1:14" ht="210" x14ac:dyDescent="0.25">
      <c r="A126" s="23" t="s">
        <v>541</v>
      </c>
      <c r="B126" s="24" t="s">
        <v>555</v>
      </c>
      <c r="C126" s="25" t="s">
        <v>167</v>
      </c>
      <c r="D126" s="6" t="s">
        <v>94</v>
      </c>
      <c r="E126" s="12" t="s">
        <v>1</v>
      </c>
      <c r="F126" s="12">
        <v>1</v>
      </c>
      <c r="G126" s="104">
        <v>1</v>
      </c>
      <c r="H126" s="104">
        <v>1</v>
      </c>
      <c r="I126" s="104">
        <v>1</v>
      </c>
      <c r="J126" s="108"/>
      <c r="K126" s="46" t="s">
        <v>554</v>
      </c>
      <c r="L126" s="46" t="s">
        <v>303</v>
      </c>
      <c r="M126" s="51"/>
      <c r="N126" s="48"/>
    </row>
    <row r="127" spans="1:14" ht="225" x14ac:dyDescent="0.25">
      <c r="A127" s="23" t="s">
        <v>541</v>
      </c>
      <c r="B127" s="24" t="s">
        <v>577</v>
      </c>
      <c r="C127" s="58" t="s">
        <v>42</v>
      </c>
      <c r="D127" s="6"/>
      <c r="E127" s="12" t="s">
        <v>1</v>
      </c>
      <c r="F127" s="12">
        <v>3</v>
      </c>
      <c r="G127" s="104">
        <v>1</v>
      </c>
      <c r="H127" s="104">
        <v>2</v>
      </c>
      <c r="I127" s="104">
        <v>1</v>
      </c>
      <c r="J127" s="108"/>
      <c r="K127" s="46" t="s">
        <v>576</v>
      </c>
      <c r="L127" s="46" t="s">
        <v>305</v>
      </c>
      <c r="M127" s="51"/>
      <c r="N127" s="48"/>
    </row>
    <row r="128" spans="1:14" ht="90" x14ac:dyDescent="0.25">
      <c r="A128" s="23" t="s">
        <v>542</v>
      </c>
      <c r="B128" s="24" t="s">
        <v>556</v>
      </c>
      <c r="C128" s="25">
        <v>5</v>
      </c>
      <c r="D128" s="6"/>
      <c r="E128" s="12" t="s">
        <v>1</v>
      </c>
      <c r="F128" s="12">
        <v>1</v>
      </c>
      <c r="G128" s="104">
        <v>0</v>
      </c>
      <c r="H128" s="104">
        <v>0</v>
      </c>
      <c r="I128" s="104">
        <v>1</v>
      </c>
      <c r="J128" s="108"/>
      <c r="K128" s="46" t="s">
        <v>557</v>
      </c>
      <c r="L128" s="46" t="s">
        <v>304</v>
      </c>
      <c r="M128" s="51"/>
      <c r="N128" s="48"/>
    </row>
    <row r="129" spans="1:14" hidden="1" x14ac:dyDescent="0.25">
      <c r="A129" s="23" t="s">
        <v>543</v>
      </c>
      <c r="B129" s="24" t="s">
        <v>70</v>
      </c>
      <c r="C129" s="58" t="s">
        <v>501</v>
      </c>
      <c r="D129" s="6"/>
      <c r="E129" s="12" t="s">
        <v>1</v>
      </c>
      <c r="F129" s="12">
        <v>0</v>
      </c>
      <c r="G129" s="104">
        <v>0</v>
      </c>
      <c r="H129" s="104">
        <v>0</v>
      </c>
      <c r="I129" s="104">
        <v>0</v>
      </c>
      <c r="J129" s="108"/>
      <c r="K129" s="46" t="s">
        <v>558</v>
      </c>
      <c r="L129" s="46"/>
      <c r="M129" s="51"/>
      <c r="N129" s="48"/>
    </row>
    <row r="130" spans="1:14" ht="105" x14ac:dyDescent="0.25">
      <c r="A130" s="23" t="s">
        <v>543</v>
      </c>
      <c r="B130" s="24" t="s">
        <v>306</v>
      </c>
      <c r="C130" s="25">
        <v>2</v>
      </c>
      <c r="D130" s="6" t="s">
        <v>98</v>
      </c>
      <c r="E130" s="12" t="s">
        <v>1</v>
      </c>
      <c r="F130" s="12">
        <v>1</v>
      </c>
      <c r="G130" s="104">
        <v>0</v>
      </c>
      <c r="H130" s="104"/>
      <c r="I130" s="104">
        <v>1</v>
      </c>
      <c r="J130" s="108"/>
      <c r="K130" s="46" t="s">
        <v>559</v>
      </c>
      <c r="L130" s="46" t="s">
        <v>307</v>
      </c>
      <c r="M130" s="51"/>
      <c r="N130" s="48"/>
    </row>
    <row r="131" spans="1:14" ht="195" x14ac:dyDescent="0.25">
      <c r="A131" s="23" t="s">
        <v>543</v>
      </c>
      <c r="B131" s="24" t="s">
        <v>561</v>
      </c>
      <c r="C131" s="25">
        <v>3</v>
      </c>
      <c r="D131" s="6" t="s">
        <v>98</v>
      </c>
      <c r="E131" s="12" t="s">
        <v>1</v>
      </c>
      <c r="F131" s="12">
        <v>1</v>
      </c>
      <c r="G131" s="104">
        <v>1</v>
      </c>
      <c r="H131" s="104">
        <v>1</v>
      </c>
      <c r="I131" s="104">
        <v>1</v>
      </c>
      <c r="J131" s="108" t="s">
        <v>658</v>
      </c>
      <c r="K131" s="46" t="s">
        <v>560</v>
      </c>
      <c r="L131" s="46" t="s">
        <v>308</v>
      </c>
      <c r="M131" s="51"/>
      <c r="N131" s="48"/>
    </row>
    <row r="132" spans="1:14" ht="15" hidden="1" customHeight="1" x14ac:dyDescent="0.25">
      <c r="A132" s="23" t="s">
        <v>65</v>
      </c>
      <c r="B132" s="24" t="s">
        <v>144</v>
      </c>
      <c r="C132" s="25">
        <v>1</v>
      </c>
      <c r="D132" s="7"/>
      <c r="E132" s="12" t="s">
        <v>312</v>
      </c>
      <c r="F132" s="12">
        <v>0</v>
      </c>
      <c r="G132" s="104">
        <v>0</v>
      </c>
      <c r="H132" s="104">
        <v>0</v>
      </c>
      <c r="I132" s="104">
        <v>0</v>
      </c>
      <c r="J132" s="60"/>
      <c r="K132" s="46" t="s">
        <v>562</v>
      </c>
      <c r="L132" s="46"/>
      <c r="M132" s="54"/>
      <c r="N132" s="48"/>
    </row>
    <row r="133" spans="1:14" ht="60" hidden="1" x14ac:dyDescent="0.25">
      <c r="A133" s="23" t="s">
        <v>65</v>
      </c>
      <c r="B133" s="24" t="s">
        <v>70</v>
      </c>
      <c r="C133" s="25" t="s">
        <v>37</v>
      </c>
      <c r="D133" s="6" t="s">
        <v>98</v>
      </c>
      <c r="E133" s="12" t="s">
        <v>1</v>
      </c>
      <c r="F133" s="12">
        <v>0</v>
      </c>
      <c r="G133" s="104">
        <v>0</v>
      </c>
      <c r="H133" s="104">
        <v>0</v>
      </c>
      <c r="I133" s="104">
        <v>0</v>
      </c>
      <c r="J133" s="60"/>
      <c r="K133" s="46" t="s">
        <v>564</v>
      </c>
      <c r="L133" s="46" t="s">
        <v>309</v>
      </c>
      <c r="M133" s="51"/>
      <c r="N133" s="48"/>
    </row>
    <row r="134" spans="1:14" ht="150" hidden="1" x14ac:dyDescent="0.25">
      <c r="A134" s="23" t="s">
        <v>65</v>
      </c>
      <c r="B134" s="24" t="s">
        <v>114</v>
      </c>
      <c r="C134" s="25" t="s">
        <v>48</v>
      </c>
      <c r="D134" s="6" t="s">
        <v>96</v>
      </c>
      <c r="E134" s="12" t="s">
        <v>312</v>
      </c>
      <c r="F134" s="12">
        <v>0</v>
      </c>
      <c r="G134" s="104">
        <v>0</v>
      </c>
      <c r="H134" s="104">
        <v>0</v>
      </c>
      <c r="I134" s="104">
        <v>1</v>
      </c>
      <c r="J134" s="60"/>
      <c r="K134" s="46" t="s">
        <v>563</v>
      </c>
      <c r="L134" s="46" t="s">
        <v>119</v>
      </c>
      <c r="M134" s="51"/>
      <c r="N134" s="48"/>
    </row>
    <row r="135" spans="1:14" ht="195" hidden="1" x14ac:dyDescent="0.25">
      <c r="A135" s="23" t="s">
        <v>65</v>
      </c>
      <c r="B135" s="24" t="s">
        <v>115</v>
      </c>
      <c r="C135" s="25" t="s">
        <v>238</v>
      </c>
      <c r="D135" s="6" t="s">
        <v>96</v>
      </c>
      <c r="E135" s="12" t="s">
        <v>1</v>
      </c>
      <c r="F135" s="12">
        <v>0</v>
      </c>
      <c r="G135" s="104">
        <v>0</v>
      </c>
      <c r="H135" s="104">
        <v>0</v>
      </c>
      <c r="I135" s="104">
        <v>1</v>
      </c>
      <c r="J135" s="60"/>
      <c r="K135" s="46" t="s">
        <v>565</v>
      </c>
      <c r="L135" s="46" t="s">
        <v>118</v>
      </c>
      <c r="M135" s="51"/>
      <c r="N135" s="48"/>
    </row>
    <row r="136" spans="1:14" ht="105" hidden="1" x14ac:dyDescent="0.25">
      <c r="A136" s="23" t="s">
        <v>66</v>
      </c>
      <c r="B136" s="24" t="s">
        <v>566</v>
      </c>
      <c r="C136" s="25" t="s">
        <v>33</v>
      </c>
      <c r="D136" s="6" t="s">
        <v>96</v>
      </c>
      <c r="E136" s="12" t="s">
        <v>1</v>
      </c>
      <c r="F136" s="12">
        <v>0</v>
      </c>
      <c r="G136" s="104">
        <v>0</v>
      </c>
      <c r="H136" s="104">
        <v>0</v>
      </c>
      <c r="I136" s="104">
        <v>3</v>
      </c>
      <c r="J136" s="60"/>
      <c r="K136" s="46" t="s">
        <v>567</v>
      </c>
      <c r="L136" s="46" t="s">
        <v>310</v>
      </c>
      <c r="M136" s="51"/>
      <c r="N136" s="48"/>
    </row>
    <row r="137" spans="1:14" hidden="1" x14ac:dyDescent="0.25">
      <c r="A137" s="23" t="s">
        <v>67</v>
      </c>
      <c r="B137" s="24" t="s">
        <v>70</v>
      </c>
      <c r="C137" s="25">
        <v>1</v>
      </c>
      <c r="D137" s="6"/>
      <c r="E137" s="12" t="s">
        <v>1</v>
      </c>
      <c r="F137" s="12">
        <v>0</v>
      </c>
      <c r="G137" s="104">
        <v>0</v>
      </c>
      <c r="H137" s="104">
        <v>0</v>
      </c>
      <c r="I137" s="104">
        <v>0</v>
      </c>
      <c r="J137" s="60"/>
      <c r="K137" s="46" t="s">
        <v>568</v>
      </c>
      <c r="L137" s="46"/>
      <c r="M137" s="51"/>
      <c r="N137" s="48"/>
    </row>
    <row r="138" spans="1:14" ht="225" x14ac:dyDescent="0.25">
      <c r="A138" s="23" t="s">
        <v>67</v>
      </c>
      <c r="B138" s="24" t="s">
        <v>145</v>
      </c>
      <c r="C138" s="25" t="s">
        <v>167</v>
      </c>
      <c r="D138" s="11" t="s">
        <v>100</v>
      </c>
      <c r="E138" s="12" t="s">
        <v>1</v>
      </c>
      <c r="F138" s="12">
        <v>2</v>
      </c>
      <c r="G138" s="104">
        <v>2</v>
      </c>
      <c r="H138" s="104">
        <v>2</v>
      </c>
      <c r="I138" s="104">
        <v>2</v>
      </c>
      <c r="J138" s="60" t="s">
        <v>685</v>
      </c>
      <c r="K138" s="46" t="s">
        <v>571</v>
      </c>
      <c r="L138" s="46" t="s">
        <v>117</v>
      </c>
      <c r="M138" s="51"/>
      <c r="N138" s="48"/>
    </row>
    <row r="139" spans="1:14" ht="409.5" x14ac:dyDescent="0.25">
      <c r="A139" s="23" t="s">
        <v>67</v>
      </c>
      <c r="B139" s="24" t="s">
        <v>146</v>
      </c>
      <c r="C139" s="25" t="s">
        <v>572</v>
      </c>
      <c r="D139" s="11" t="s">
        <v>100</v>
      </c>
      <c r="E139" s="12" t="s">
        <v>1</v>
      </c>
      <c r="F139" s="12">
        <v>2</v>
      </c>
      <c r="G139" s="104">
        <v>0</v>
      </c>
      <c r="H139" s="104">
        <v>0</v>
      </c>
      <c r="I139" s="104">
        <v>0</v>
      </c>
      <c r="J139" s="60"/>
      <c r="K139" s="46" t="s">
        <v>573</v>
      </c>
      <c r="L139" s="46" t="s">
        <v>200</v>
      </c>
      <c r="M139" s="51"/>
      <c r="N139" s="48"/>
    </row>
    <row r="140" spans="1:14" ht="165" x14ac:dyDescent="0.25">
      <c r="A140" s="23" t="s">
        <v>67</v>
      </c>
      <c r="B140" s="24" t="s">
        <v>148</v>
      </c>
      <c r="C140" s="25" t="s">
        <v>570</v>
      </c>
      <c r="D140" s="11" t="s">
        <v>100</v>
      </c>
      <c r="E140" s="12" t="s">
        <v>1</v>
      </c>
      <c r="F140" s="12">
        <v>1</v>
      </c>
      <c r="G140" s="104">
        <v>0</v>
      </c>
      <c r="H140" s="104">
        <v>0</v>
      </c>
      <c r="I140" s="104">
        <v>1</v>
      </c>
      <c r="J140" s="60"/>
      <c r="K140" s="46" t="s">
        <v>569</v>
      </c>
      <c r="L140" s="46" t="s">
        <v>147</v>
      </c>
      <c r="M140" s="51"/>
      <c r="N140" s="48"/>
    </row>
    <row r="141" spans="1:14" ht="135" x14ac:dyDescent="0.25">
      <c r="A141" s="23" t="s">
        <v>68</v>
      </c>
      <c r="B141" s="24" t="s">
        <v>116</v>
      </c>
      <c r="C141" s="25" t="s">
        <v>53</v>
      </c>
      <c r="D141" s="5" t="s">
        <v>96</v>
      </c>
      <c r="E141" s="12" t="s">
        <v>1</v>
      </c>
      <c r="F141" s="12">
        <v>1</v>
      </c>
      <c r="G141" s="104">
        <v>1</v>
      </c>
      <c r="H141" s="104">
        <v>1</v>
      </c>
      <c r="I141" s="104">
        <v>1</v>
      </c>
      <c r="J141" s="60"/>
      <c r="K141" s="46" t="s">
        <v>574</v>
      </c>
      <c r="L141" s="46" t="s">
        <v>575</v>
      </c>
      <c r="M141" s="51"/>
      <c r="N141" s="48"/>
    </row>
    <row r="142" spans="1:14" ht="225" hidden="1" x14ac:dyDescent="0.25">
      <c r="A142" s="3" t="s">
        <v>69</v>
      </c>
      <c r="B142" s="26" t="s">
        <v>149</v>
      </c>
      <c r="C142" s="27" t="s">
        <v>53</v>
      </c>
      <c r="D142" s="5"/>
      <c r="E142" s="12" t="s">
        <v>1</v>
      </c>
      <c r="F142" s="5">
        <v>0</v>
      </c>
      <c r="G142" s="106">
        <v>0</v>
      </c>
      <c r="H142" s="106">
        <v>0</v>
      </c>
      <c r="I142" s="106">
        <v>1</v>
      </c>
      <c r="J142" s="61"/>
      <c r="K142" s="57" t="s">
        <v>637</v>
      </c>
      <c r="L142" s="57" t="s">
        <v>150</v>
      </c>
      <c r="M142" s="51"/>
      <c r="N142" s="52"/>
    </row>
  </sheetData>
  <autoFilter ref="A1:N142" xr:uid="{00000000-0001-0000-0100-000000000000}">
    <filterColumn colId="0" showButton="0"/>
    <filterColumn colId="5">
      <filters>
        <filter val="1"/>
        <filter val="10"/>
        <filter val="2"/>
        <filter val="3"/>
        <filter val="9"/>
      </filters>
    </filterColumn>
  </autoFilter>
  <mergeCells count="3">
    <mergeCell ref="A1:B1"/>
    <mergeCell ref="M43:M44"/>
    <mergeCell ref="M47:M49"/>
  </mergeCells>
  <phoneticPr fontId="8" type="noConversion"/>
  <pageMargins left="0.70866141732283472" right="0.70866141732283472" top="0.74803149606299213" bottom="0.74803149606299213" header="0.31496062992125984" footer="0.31496062992125984"/>
  <pageSetup paperSize="9" scale="19" fitToHeight="0" orientation="portrait" r:id="rId1"/>
  <rowBreaks count="1" manualBreakCount="1">
    <brk id="14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9"/>
  <sheetViews>
    <sheetView zoomScale="85" zoomScaleNormal="85" workbookViewId="0">
      <selection activeCell="Q16" sqref="Q16"/>
    </sheetView>
  </sheetViews>
  <sheetFormatPr baseColWidth="10" defaultColWidth="11.5703125" defaultRowHeight="12.75" x14ac:dyDescent="0.2"/>
  <cols>
    <col min="1" max="6" width="11.5703125" style="66"/>
    <col min="7" max="14" width="11" style="66" customWidth="1"/>
    <col min="15" max="15" width="11.5703125" style="66"/>
    <col min="16" max="16" width="26.5703125" style="66" customWidth="1"/>
    <col min="17" max="17" width="15.5703125" style="66" customWidth="1"/>
    <col min="18" max="18" width="23.140625" style="66" bestFit="1" customWidth="1"/>
    <col min="19" max="25" width="15.5703125" style="66" customWidth="1"/>
    <col min="26" max="28" width="14.5703125" style="66" customWidth="1"/>
    <col min="29" max="16384" width="11.5703125" style="66"/>
  </cols>
  <sheetData>
    <row r="1" spans="1:28" ht="13.5" thickBot="1" x14ac:dyDescent="0.25">
      <c r="C1" s="66" t="s">
        <v>201</v>
      </c>
      <c r="D1" s="66" t="s">
        <v>223</v>
      </c>
      <c r="E1" s="66" t="s">
        <v>224</v>
      </c>
      <c r="F1" s="66" t="s">
        <v>225</v>
      </c>
      <c r="G1" s="66" t="s">
        <v>201</v>
      </c>
      <c r="H1" s="66" t="s">
        <v>223</v>
      </c>
      <c r="I1" s="67" t="s">
        <v>224</v>
      </c>
      <c r="J1" s="67" t="s">
        <v>225</v>
      </c>
      <c r="K1" s="67" t="s">
        <v>202</v>
      </c>
      <c r="L1" s="67" t="s">
        <v>223</v>
      </c>
      <c r="M1" s="67" t="s">
        <v>224</v>
      </c>
      <c r="N1" s="67" t="s">
        <v>225</v>
      </c>
      <c r="P1" s="68" t="s">
        <v>203</v>
      </c>
      <c r="Q1" s="73" t="s">
        <v>244</v>
      </c>
      <c r="R1" s="69">
        <f>SUM(R3:R12)</f>
        <v>0.47196031746031747</v>
      </c>
      <c r="S1" s="69">
        <f>SUM(S3:S12)</f>
        <v>0.60985317460317456</v>
      </c>
      <c r="T1" s="69">
        <f>SUM(T3:T12)</f>
        <v>1.7495198412698414</v>
      </c>
      <c r="U1" s="69">
        <f>SUM(U3:U12)</f>
        <v>1.085</v>
      </c>
      <c r="Z1" s="70" t="s">
        <v>245</v>
      </c>
    </row>
    <row r="2" spans="1:28" x14ac:dyDescent="0.2">
      <c r="A2" s="138" t="s">
        <v>204</v>
      </c>
      <c r="B2" s="71" t="s">
        <v>13</v>
      </c>
      <c r="C2" s="72">
        <f>SUMIFS(Evaluation!$F$2:$F$142,Evaluation!$A$2:$A$142,$B2&amp;"*",Evaluation!$A$2:$A$142,"&lt;&gt;*X*")</f>
        <v>4</v>
      </c>
      <c r="D2" s="72">
        <f>SUMIFS(Evaluation!$G$2:$G$142,Evaluation!$A$2:$A$142,$B2&amp;"*",Evaluation!$A$2:$A$142,"&lt;&gt;*X*")</f>
        <v>3</v>
      </c>
      <c r="E2" s="72">
        <f>SUMIFS(Evaluation!$H$2:$H$142,Evaluation!$A$2:$A$142,$B2&amp;"*",Evaluation!$A$2:$A$142,"&lt;&gt;*X*")</f>
        <v>3</v>
      </c>
      <c r="F2" s="72">
        <f>SUMIFS(Evaluation!$I$2:$I$142,Evaluation!$A$2:$A$142,$B2&amp;"*",Evaluation!$A$2:$A$142,"&lt;&gt;*X*")</f>
        <v>3</v>
      </c>
      <c r="G2" s="153">
        <f>SUM(C2:C6)</f>
        <v>15</v>
      </c>
      <c r="H2" s="156">
        <f>SUM(D2:D6)</f>
        <v>8</v>
      </c>
      <c r="I2" s="147">
        <f t="shared" ref="I2" si="0">SUM(E2:E6)</f>
        <v>11</v>
      </c>
      <c r="J2" s="147">
        <f t="shared" ref="J2" si="1">SUM(F2:F6)</f>
        <v>18</v>
      </c>
      <c r="K2" s="159">
        <f>Q3/G2</f>
        <v>7.3333333333333332E-3</v>
      </c>
      <c r="L2" s="123">
        <f>H2*K2</f>
        <v>5.8666666666666666E-2</v>
      </c>
      <c r="M2" s="117">
        <f>I2*K2</f>
        <v>8.0666666666666664E-2</v>
      </c>
      <c r="N2" s="160">
        <f>J2*K2</f>
        <v>0.13200000000000001</v>
      </c>
      <c r="P2" s="66" t="s">
        <v>171</v>
      </c>
      <c r="Q2" s="66" t="s">
        <v>172</v>
      </c>
      <c r="R2" s="74" t="s">
        <v>223</v>
      </c>
      <c r="S2" s="74" t="s">
        <v>224</v>
      </c>
      <c r="T2" s="74" t="s">
        <v>225</v>
      </c>
      <c r="U2" s="75" t="s">
        <v>208</v>
      </c>
      <c r="V2" s="74" t="s">
        <v>223</v>
      </c>
      <c r="W2" s="74" t="s">
        <v>224</v>
      </c>
      <c r="X2" s="74" t="s">
        <v>225</v>
      </c>
      <c r="Z2" s="75" t="s">
        <v>244</v>
      </c>
      <c r="AA2" s="75" t="s">
        <v>246</v>
      </c>
      <c r="AB2" s="75" t="s">
        <v>247</v>
      </c>
    </row>
    <row r="3" spans="1:28" x14ac:dyDescent="0.2">
      <c r="A3" s="139"/>
      <c r="B3" s="76" t="s">
        <v>14</v>
      </c>
      <c r="C3" s="77">
        <f>SUMIFS(Evaluation!$F$2:$F$142,Evaluation!$A$2:$A$142,$B3&amp;"*",Evaluation!$A$2:$A$142,"&lt;&gt;*X*")</f>
        <v>4</v>
      </c>
      <c r="D3" s="77">
        <f>SUMIFS(Evaluation!$G$2:$G$142,Evaluation!$A$2:$A$142,$B3&amp;"*",Evaluation!$A$2:$A$142,"&lt;&gt;*X*")</f>
        <v>1</v>
      </c>
      <c r="E3" s="77">
        <f>SUMIFS(Evaluation!$H$2:$H$142,Evaluation!$A$2:$A$142,$B3&amp;"*",Evaluation!$A$2:$A$142,"&lt;&gt;*X*")</f>
        <v>4</v>
      </c>
      <c r="F3" s="77">
        <f>SUMIFS(Evaluation!$I$2:$I$142,Evaluation!$A$2:$A$142,$B3&amp;"*",Evaluation!$A$2:$A$142,"&lt;&gt;*X*")</f>
        <v>3</v>
      </c>
      <c r="G3" s="154"/>
      <c r="H3" s="157"/>
      <c r="I3" s="148"/>
      <c r="J3" s="148"/>
      <c r="K3" s="151"/>
      <c r="L3" s="124"/>
      <c r="M3" s="118"/>
      <c r="N3" s="161"/>
      <c r="P3" s="66" t="str">
        <f>$A$2</f>
        <v>Management</v>
      </c>
      <c r="Q3" s="78">
        <f t="shared" ref="Q3:Q13" si="2">IF($Q$1=$Z$2,Z3,IF($Q$1=$AA$2,AA3,AB3))</f>
        <v>0.11</v>
      </c>
      <c r="R3" s="79">
        <f>L2</f>
        <v>5.8666666666666666E-2</v>
      </c>
      <c r="S3" s="79">
        <f>M2</f>
        <v>8.0666666666666664E-2</v>
      </c>
      <c r="T3" s="79">
        <f>N2</f>
        <v>0.13200000000000001</v>
      </c>
      <c r="U3" s="79">
        <f t="shared" ref="U3:U12" si="3">Q3</f>
        <v>0.11</v>
      </c>
      <c r="V3" s="79">
        <f t="shared" ref="V3:V12" si="4">R3/$U3</f>
        <v>0.53333333333333333</v>
      </c>
      <c r="W3" s="79">
        <f t="shared" ref="W3:W12" si="5">S3/$U3</f>
        <v>0.73333333333333328</v>
      </c>
      <c r="X3" s="79">
        <f t="shared" ref="X3:X12" si="6">T3/$U3</f>
        <v>1.2</v>
      </c>
      <c r="Z3" s="80">
        <v>0.11</v>
      </c>
      <c r="AA3" s="79">
        <v>0.12429999999999999</v>
      </c>
      <c r="AB3" s="79">
        <v>0.1048</v>
      </c>
    </row>
    <row r="4" spans="1:28" x14ac:dyDescent="0.2">
      <c r="A4" s="139"/>
      <c r="B4" s="76" t="s">
        <v>15</v>
      </c>
      <c r="C4" s="77">
        <f>SUMIFS(Evaluation!$F$2:$F$142,Evaluation!$A$2:$A$142,$B4&amp;"*",Evaluation!$A$2:$A$142,"&lt;&gt;*X*")</f>
        <v>6</v>
      </c>
      <c r="D4" s="77">
        <f>SUMIFS(Evaluation!$G$2:$G$142,Evaluation!$A$2:$A$142,$B4&amp;"*",Evaluation!$A$2:$A$142,"&lt;&gt;*X*")</f>
        <v>4</v>
      </c>
      <c r="E4" s="77">
        <f>SUMIFS(Evaluation!$H$2:$H$142,Evaluation!$A$2:$A$142,$B4&amp;"*",Evaluation!$A$2:$A$142,"&lt;&gt;*X*")</f>
        <v>4</v>
      </c>
      <c r="F4" s="77">
        <f>SUMIFS(Evaluation!$I$2:$I$142,Evaluation!$A$2:$A$142,$B4&amp;"*",Evaluation!$A$2:$A$142,"&lt;&gt;*X*")</f>
        <v>6</v>
      </c>
      <c r="G4" s="154"/>
      <c r="H4" s="157"/>
      <c r="I4" s="148"/>
      <c r="J4" s="148"/>
      <c r="K4" s="151"/>
      <c r="L4" s="124"/>
      <c r="M4" s="118"/>
      <c r="N4" s="161"/>
      <c r="P4" s="66" t="str">
        <f>$A$7</f>
        <v>Health and Wellbeing</v>
      </c>
      <c r="Q4" s="78">
        <f t="shared" si="2"/>
        <v>0.19</v>
      </c>
      <c r="R4" s="79">
        <f>L7</f>
        <v>7.8333333333333338E-2</v>
      </c>
      <c r="S4" s="79">
        <f>M7</f>
        <v>0.11</v>
      </c>
      <c r="T4" s="79">
        <f>N7</f>
        <v>0.52166666666666672</v>
      </c>
      <c r="U4" s="79">
        <f t="shared" si="3"/>
        <v>0.19</v>
      </c>
      <c r="V4" s="79">
        <f t="shared" si="4"/>
        <v>0.41228070175438597</v>
      </c>
      <c r="W4" s="79">
        <f t="shared" si="5"/>
        <v>0.57894736842105265</v>
      </c>
      <c r="X4" s="79">
        <f t="shared" si="6"/>
        <v>2.7456140350877196</v>
      </c>
      <c r="Z4" s="80">
        <v>0.19</v>
      </c>
      <c r="AA4" s="79">
        <v>0.10929999999999999</v>
      </c>
      <c r="AB4" s="79">
        <v>0.12479999999999999</v>
      </c>
    </row>
    <row r="5" spans="1:28" x14ac:dyDescent="0.2">
      <c r="A5" s="139"/>
      <c r="B5" s="76" t="s">
        <v>16</v>
      </c>
      <c r="C5" s="77">
        <f>SUMIFS(Evaluation!$F$2:$F$142,Evaluation!$A$2:$A$142,$B5&amp;"*",Evaluation!$A$2:$A$142,"&lt;&gt;*X*")</f>
        <v>1</v>
      </c>
      <c r="D5" s="77">
        <f>SUMIFS(Evaluation!$G$2:$G$142,Evaluation!$A$2:$A$142,$B5&amp;"*",Evaluation!$A$2:$A$142,"&lt;&gt;*X*")</f>
        <v>0</v>
      </c>
      <c r="E5" s="77">
        <f>SUMIFS(Evaluation!$H$2:$H$142,Evaluation!$A$2:$A$142,$B5&amp;"*",Evaluation!$A$2:$A$142,"&lt;&gt;*X*")</f>
        <v>0</v>
      </c>
      <c r="F5" s="77">
        <f>SUMIFS(Evaluation!$I$2:$I$142,Evaluation!$A$2:$A$142,$B5&amp;"*",Evaluation!$A$2:$A$142,"&lt;&gt;*X*")</f>
        <v>4</v>
      </c>
      <c r="G5" s="154"/>
      <c r="H5" s="157"/>
      <c r="I5" s="148"/>
      <c r="J5" s="148"/>
      <c r="K5" s="151"/>
      <c r="L5" s="124"/>
      <c r="M5" s="118"/>
      <c r="N5" s="161"/>
      <c r="P5" s="66" t="str">
        <f>$A$17</f>
        <v>Energy</v>
      </c>
      <c r="Q5" s="78">
        <f t="shared" si="2"/>
        <v>0.16</v>
      </c>
      <c r="R5" s="79">
        <f>L17</f>
        <v>6.8571428571428575E-2</v>
      </c>
      <c r="S5" s="79">
        <f>M17</f>
        <v>0.12571428571428572</v>
      </c>
      <c r="T5" s="79">
        <f>N17</f>
        <v>0.36571428571428571</v>
      </c>
      <c r="U5" s="79">
        <f t="shared" si="3"/>
        <v>0.16</v>
      </c>
      <c r="V5" s="79">
        <f t="shared" si="4"/>
        <v>0.4285714285714286</v>
      </c>
      <c r="W5" s="79">
        <f t="shared" si="5"/>
        <v>0.7857142857142857</v>
      </c>
      <c r="X5" s="79">
        <f t="shared" si="6"/>
        <v>2.2857142857142856</v>
      </c>
      <c r="Z5" s="80">
        <v>0.16</v>
      </c>
      <c r="AA5" s="79">
        <v>7.8700000000000006E-2</v>
      </c>
      <c r="AB5" s="79">
        <v>0.1779</v>
      </c>
    </row>
    <row r="6" spans="1:28" ht="13.5" thickBot="1" x14ac:dyDescent="0.25">
      <c r="A6" s="145"/>
      <c r="B6" s="81" t="s">
        <v>17</v>
      </c>
      <c r="C6" s="82">
        <f>SUMIFS(Evaluation!$F$2:$F$142,Evaluation!$A$2:$A$142,$B6&amp;"*",Evaluation!$A$2:$A$142,"&lt;&gt;*X*")</f>
        <v>0</v>
      </c>
      <c r="D6" s="82">
        <f>SUMIFS(Evaluation!$G$2:$G$142,Evaluation!$A$2:$A$142,$B6&amp;"*",Evaluation!$A$2:$A$142,"&lt;&gt;*X*")</f>
        <v>0</v>
      </c>
      <c r="E6" s="82">
        <f>SUMIFS(Evaluation!$H$2:$H$142,Evaluation!$A$2:$A$142,$B6&amp;"*",Evaluation!$A$2:$A$142,"&lt;&gt;*X*")</f>
        <v>0</v>
      </c>
      <c r="F6" s="82">
        <f>SUMIFS(Evaluation!$I$2:$I$142,Evaluation!$A$2:$A$142,$B6&amp;"*",Evaluation!$A$2:$A$142,"&lt;&gt;*X*")</f>
        <v>2</v>
      </c>
      <c r="G6" s="155"/>
      <c r="H6" s="158"/>
      <c r="I6" s="149"/>
      <c r="J6" s="149"/>
      <c r="K6" s="152"/>
      <c r="L6" s="125"/>
      <c r="M6" s="119"/>
      <c r="N6" s="162"/>
      <c r="P6" s="66" t="str">
        <f>$A$25</f>
        <v>Transport</v>
      </c>
      <c r="Q6" s="78">
        <f t="shared" si="2"/>
        <v>0.08</v>
      </c>
      <c r="R6" s="79">
        <f>L25</f>
        <v>3.3333333333333333E-2</v>
      </c>
      <c r="S6" s="79">
        <f>M25</f>
        <v>0.04</v>
      </c>
      <c r="T6" s="79">
        <f>N25</f>
        <v>6.6666666666666666E-2</v>
      </c>
      <c r="U6" s="79">
        <f t="shared" si="3"/>
        <v>0.08</v>
      </c>
      <c r="V6" s="79">
        <f t="shared" si="4"/>
        <v>0.41666666666666663</v>
      </c>
      <c r="W6" s="79">
        <f t="shared" si="5"/>
        <v>0.5</v>
      </c>
      <c r="X6" s="79">
        <f t="shared" si="6"/>
        <v>0.83333333333333326</v>
      </c>
      <c r="Z6" s="80">
        <v>0.08</v>
      </c>
      <c r="AA6" s="79">
        <v>0.1265</v>
      </c>
      <c r="AB6" s="79">
        <v>8.8900000000000007E-2</v>
      </c>
    </row>
    <row r="7" spans="1:28" x14ac:dyDescent="0.2">
      <c r="A7" s="126" t="s">
        <v>205</v>
      </c>
      <c r="B7" s="83" t="s">
        <v>18</v>
      </c>
      <c r="C7" s="84">
        <f>SUMIFS(Evaluation!$F$2:$F$142,Evaluation!$A$2:$A$142,$B7&amp;"*",Evaluation!$A$2:$A$142,"&lt;&gt;*X*")</f>
        <v>2</v>
      </c>
      <c r="D7" s="84">
        <f>SUMIFS(Evaluation!$G$2:$G$142,Evaluation!$A$2:$A$142,$B7&amp;"*",Evaluation!$A$2:$A$142,"&lt;&gt;*X*")</f>
        <v>1</v>
      </c>
      <c r="E7" s="84">
        <f>SUMIFS(Evaluation!$H$2:$H$142,Evaluation!$A$2:$A$142,$B7&amp;"*",Evaluation!$A$2:$A$142,"&lt;&gt;*X*")</f>
        <v>2</v>
      </c>
      <c r="F7" s="84">
        <f>SUMIFS(Evaluation!$I$2:$I$142,Evaluation!$A$2:$A$142,$B7&amp;"*",Evaluation!$A$2:$A$142,"&lt;&gt;*X*")</f>
        <v>1</v>
      </c>
      <c r="G7" s="129">
        <f>SUM(C7:C16)-C15</f>
        <v>6</v>
      </c>
      <c r="H7" s="132">
        <f>SUM(D7:D16)-D15</f>
        <v>2</v>
      </c>
      <c r="I7" s="132">
        <f t="shared" ref="I7:J7" si="7">SUM(E7:E16)-E15</f>
        <v>3</v>
      </c>
      <c r="J7" s="132">
        <f t="shared" si="7"/>
        <v>16</v>
      </c>
      <c r="K7" s="135">
        <f>Q4/G7</f>
        <v>3.1666666666666669E-2</v>
      </c>
      <c r="L7" s="120">
        <f>H7*$K$7+D15*$Q$13</f>
        <v>7.8333333333333338E-2</v>
      </c>
      <c r="M7" s="114">
        <f>I7*$K$7+E15*$Q$13</f>
        <v>0.11</v>
      </c>
      <c r="N7" s="163">
        <f>J7*$K$7+F15*$Q$13</f>
        <v>0.52166666666666672</v>
      </c>
      <c r="P7" s="66" t="str">
        <f>$A$27</f>
        <v>Water</v>
      </c>
      <c r="Q7" s="78">
        <f t="shared" si="2"/>
        <v>7.4999999999999997E-2</v>
      </c>
      <c r="R7" s="79">
        <f>L27</f>
        <v>3.7499999999999999E-2</v>
      </c>
      <c r="S7" s="79">
        <f>M27</f>
        <v>3.7499999999999999E-2</v>
      </c>
      <c r="T7" s="79">
        <f>N27</f>
        <v>0.3</v>
      </c>
      <c r="U7" s="79">
        <f t="shared" si="3"/>
        <v>7.4999999999999997E-2</v>
      </c>
      <c r="V7" s="79">
        <f t="shared" si="4"/>
        <v>0.5</v>
      </c>
      <c r="W7" s="79">
        <f t="shared" si="5"/>
        <v>0.5</v>
      </c>
      <c r="X7" s="79">
        <f t="shared" si="6"/>
        <v>4</v>
      </c>
      <c r="Z7" s="80">
        <v>7.4999999999999997E-2</v>
      </c>
      <c r="AA7" s="79">
        <v>3.2399999999999998E-2</v>
      </c>
      <c r="AB7" s="79">
        <v>8.3400000000000002E-2</v>
      </c>
    </row>
    <row r="8" spans="1:28" x14ac:dyDescent="0.2">
      <c r="A8" s="127"/>
      <c r="B8" s="85" t="s">
        <v>19</v>
      </c>
      <c r="C8" s="86">
        <f>SUMIFS(Evaluation!$F$2:$F$142,Evaluation!$A$2:$A$142,$B8&amp;"*",Evaluation!$A$2:$A$142,"&lt;&gt;*X*")</f>
        <v>1</v>
      </c>
      <c r="D8" s="86">
        <f>SUMIFS(Evaluation!$G$2:$G$142,Evaluation!$A$2:$A$142,$B8&amp;"*",Evaluation!$A$2:$A$142,"&lt;&gt;*X*")</f>
        <v>1</v>
      </c>
      <c r="E8" s="86">
        <f>SUMIFS(Evaluation!$H$2:$H$142,Evaluation!$A$2:$A$142,$B8&amp;"*",Evaluation!$A$2:$A$142,"&lt;&gt;*X*")</f>
        <v>1</v>
      </c>
      <c r="F8" s="86">
        <f>SUMIFS(Evaluation!$I$2:$I$142,Evaluation!$A$2:$A$142,$B8&amp;"*",Evaluation!$A$2:$A$142,"&lt;&gt;*X*")</f>
        <v>2</v>
      </c>
      <c r="G8" s="130"/>
      <c r="H8" s="133"/>
      <c r="I8" s="133"/>
      <c r="J8" s="133"/>
      <c r="K8" s="136"/>
      <c r="L8" s="121"/>
      <c r="M8" s="115"/>
      <c r="N8" s="164"/>
      <c r="P8" s="66" t="str">
        <f>$A$32</f>
        <v>Materials</v>
      </c>
      <c r="Q8" s="78">
        <f t="shared" si="2"/>
        <v>0.155</v>
      </c>
      <c r="R8" s="79">
        <f>L32</f>
        <v>5.1666666666666666E-2</v>
      </c>
      <c r="S8" s="79">
        <f>M32</f>
        <v>6.4583333333333326E-2</v>
      </c>
      <c r="T8" s="79">
        <f>N32</f>
        <v>9.0416666666666673E-2</v>
      </c>
      <c r="U8" s="79">
        <f t="shared" si="3"/>
        <v>0.155</v>
      </c>
      <c r="V8" s="79">
        <f t="shared" si="4"/>
        <v>0.33333333333333331</v>
      </c>
      <c r="W8" s="79">
        <f t="shared" si="5"/>
        <v>0.41666666666666663</v>
      </c>
      <c r="X8" s="79">
        <f t="shared" si="6"/>
        <v>0.58333333333333337</v>
      </c>
      <c r="Z8" s="80">
        <v>0.155</v>
      </c>
      <c r="AA8" s="79">
        <v>0.21010000000000001</v>
      </c>
      <c r="AB8" s="79">
        <v>0.17230000000000001</v>
      </c>
    </row>
    <row r="9" spans="1:28" x14ac:dyDescent="0.2">
      <c r="A9" s="127"/>
      <c r="B9" s="85" t="s">
        <v>20</v>
      </c>
      <c r="C9" s="86">
        <f>SUMIFS(Evaluation!$F$2:$F$142,Evaluation!$A$2:$A$142,$B9&amp;"*",Evaluation!$A$2:$A$142,"&lt;&gt;*X*")</f>
        <v>0</v>
      </c>
      <c r="D9" s="86">
        <f>SUMIFS(Evaluation!$G$2:$G$142,Evaluation!$A$2:$A$142,$B9&amp;"*",Evaluation!$A$2:$A$142,"&lt;&gt;*X*")</f>
        <v>0</v>
      </c>
      <c r="E9" s="86">
        <f>SUMIFS(Evaluation!$H$2:$H$142,Evaluation!$A$2:$A$142,$B9&amp;"*",Evaluation!$A$2:$A$142,"&lt;&gt;*X*")</f>
        <v>0</v>
      </c>
      <c r="F9" s="86">
        <f>SUMIFS(Evaluation!$I$2:$I$142,Evaluation!$A$2:$A$142,$B9&amp;"*",Evaluation!$A$2:$A$142,"&lt;&gt;*X*")</f>
        <v>0</v>
      </c>
      <c r="G9" s="130"/>
      <c r="H9" s="133"/>
      <c r="I9" s="133"/>
      <c r="J9" s="133"/>
      <c r="K9" s="136"/>
      <c r="L9" s="121"/>
      <c r="M9" s="115"/>
      <c r="N9" s="164"/>
      <c r="P9" s="66" t="str">
        <f>$A$37</f>
        <v>Waste</v>
      </c>
      <c r="Q9" s="78">
        <f t="shared" si="2"/>
        <v>7.0000000000000007E-2</v>
      </c>
      <c r="R9" s="79">
        <f>L37</f>
        <v>3.888888888888889E-2</v>
      </c>
      <c r="S9" s="79">
        <f>M37</f>
        <v>3.888888888888889E-2</v>
      </c>
      <c r="T9" s="79">
        <f>N37</f>
        <v>3.888888888888889E-2</v>
      </c>
      <c r="U9" s="79">
        <f t="shared" si="3"/>
        <v>7.0000000000000007E-2</v>
      </c>
      <c r="V9" s="79">
        <f t="shared" si="4"/>
        <v>0.55555555555555547</v>
      </c>
      <c r="W9" s="79">
        <f t="shared" si="5"/>
        <v>0.55555555555555547</v>
      </c>
      <c r="X9" s="79">
        <f t="shared" si="6"/>
        <v>0.55555555555555547</v>
      </c>
      <c r="Z9" s="80">
        <v>7.0000000000000007E-2</v>
      </c>
      <c r="AA9" s="79">
        <v>9.9599999999999994E-2</v>
      </c>
      <c r="AB9" s="79">
        <v>7.0000000000000007E-2</v>
      </c>
    </row>
    <row r="10" spans="1:28" x14ac:dyDescent="0.2">
      <c r="A10" s="127"/>
      <c r="B10" s="85" t="s">
        <v>21</v>
      </c>
      <c r="C10" s="86">
        <f>SUMIFS(Evaluation!$F$2:$F$142,Evaluation!$A$2:$A$142,$B10&amp;"*",Evaluation!$A$2:$A$142,"&lt;&gt;*X*")</f>
        <v>0</v>
      </c>
      <c r="D10" s="86">
        <f>SUMIFS(Evaluation!$G$2:$G$142,Evaluation!$A$2:$A$142,$B10&amp;"*",Evaluation!$A$2:$A$142,"&lt;&gt;*X*")</f>
        <v>0</v>
      </c>
      <c r="E10" s="86">
        <f>SUMIFS(Evaluation!$H$2:$H$142,Evaluation!$A$2:$A$142,$B10&amp;"*",Evaluation!$A$2:$A$142,"&lt;&gt;*X*")</f>
        <v>0</v>
      </c>
      <c r="F10" s="86">
        <f>SUMIFS(Evaluation!$I$2:$I$142,Evaluation!$A$2:$A$142,$B10&amp;"*",Evaluation!$A$2:$A$142,"&lt;&gt;*X*")</f>
        <v>4</v>
      </c>
      <c r="G10" s="130"/>
      <c r="H10" s="133"/>
      <c r="I10" s="133"/>
      <c r="J10" s="133"/>
      <c r="K10" s="136"/>
      <c r="L10" s="121"/>
      <c r="M10" s="115"/>
      <c r="N10" s="164"/>
      <c r="P10" s="66" t="str">
        <f>$A$43</f>
        <v>Land Use and ecology</v>
      </c>
      <c r="Q10" s="78">
        <f t="shared" si="2"/>
        <v>0.105</v>
      </c>
      <c r="R10" s="79">
        <f>L43</f>
        <v>7.4999999999999997E-2</v>
      </c>
      <c r="S10" s="79">
        <f>M43</f>
        <v>8.249999999999999E-2</v>
      </c>
      <c r="T10" s="79">
        <f>N43</f>
        <v>6.7500000000000004E-2</v>
      </c>
      <c r="U10" s="79">
        <f t="shared" si="3"/>
        <v>0.105</v>
      </c>
      <c r="V10" s="79">
        <f t="shared" si="4"/>
        <v>0.7142857142857143</v>
      </c>
      <c r="W10" s="79">
        <f t="shared" si="5"/>
        <v>0.7857142857142857</v>
      </c>
      <c r="X10" s="79">
        <f t="shared" si="6"/>
        <v>0.6428571428571429</v>
      </c>
      <c r="Z10" s="80">
        <v>0.105</v>
      </c>
      <c r="AA10" s="79">
        <v>0.1661</v>
      </c>
      <c r="AB10" s="79">
        <v>0.1167</v>
      </c>
    </row>
    <row r="11" spans="1:28" x14ac:dyDescent="0.2">
      <c r="A11" s="127"/>
      <c r="B11" s="85" t="s">
        <v>22</v>
      </c>
      <c r="C11" s="86">
        <f>SUMIFS(Evaluation!$F$2:$F$142,Evaluation!$A$2:$A$142,$B11&amp;"*",Evaluation!$A$2:$A$142,"&lt;&gt;*X*")</f>
        <v>0</v>
      </c>
      <c r="D11" s="86">
        <f>SUMIFS(Evaluation!$G$2:$G$142,Evaluation!$A$2:$A$142,$B11&amp;"*",Evaluation!$A$2:$A$142,"&lt;&gt;*X*")</f>
        <v>0</v>
      </c>
      <c r="E11" s="86">
        <f>SUMIFS(Evaluation!$H$2:$H$142,Evaluation!$A$2:$A$142,$B11&amp;"*",Evaluation!$A$2:$A$142,"&lt;&gt;*X*")</f>
        <v>0</v>
      </c>
      <c r="F11" s="86">
        <f>SUMIFS(Evaluation!$I$2:$I$142,Evaluation!$A$2:$A$142,$B11&amp;"*",Evaluation!$A$2:$A$142,"&lt;&gt;*X*")</f>
        <v>3</v>
      </c>
      <c r="G11" s="130"/>
      <c r="H11" s="133"/>
      <c r="I11" s="133"/>
      <c r="J11" s="133"/>
      <c r="K11" s="136"/>
      <c r="L11" s="121"/>
      <c r="M11" s="115"/>
      <c r="N11" s="164"/>
      <c r="P11" s="66" t="str">
        <f>$A$48</f>
        <v>Pollution</v>
      </c>
      <c r="Q11" s="78">
        <f t="shared" si="2"/>
        <v>0.04</v>
      </c>
      <c r="R11" s="79">
        <f>L48</f>
        <v>0.02</v>
      </c>
      <c r="S11" s="79">
        <f>M48</f>
        <v>0.02</v>
      </c>
      <c r="T11" s="79">
        <f>N48</f>
        <v>6.6666666666666666E-2</v>
      </c>
      <c r="U11" s="79">
        <f t="shared" si="3"/>
        <v>0.04</v>
      </c>
      <c r="V11" s="79">
        <f t="shared" si="4"/>
        <v>0.5</v>
      </c>
      <c r="W11" s="79">
        <f t="shared" si="5"/>
        <v>0.5</v>
      </c>
      <c r="X11" s="79">
        <f t="shared" si="6"/>
        <v>1.6666666666666665</v>
      </c>
      <c r="Z11" s="80">
        <v>0.04</v>
      </c>
      <c r="AA11" s="79">
        <v>2.92E-2</v>
      </c>
      <c r="AB11" s="79">
        <v>4.4499999999999998E-2</v>
      </c>
    </row>
    <row r="12" spans="1:28" x14ac:dyDescent="0.2">
      <c r="A12" s="127"/>
      <c r="B12" s="85" t="s">
        <v>23</v>
      </c>
      <c r="C12" s="86">
        <f>SUMIFS(Evaluation!$F$2:$F$142,Evaluation!$A$2:$A$142,$B12&amp;"*",Evaluation!$A$2:$A$142,"&lt;&gt;*X*")</f>
        <v>1</v>
      </c>
      <c r="D12" s="86">
        <f>SUMIFS(Evaluation!$G$2:$G$142,Evaluation!$A$2:$A$142,$B12&amp;"*",Evaluation!$A$2:$A$142,"&lt;&gt;*X*")</f>
        <v>0</v>
      </c>
      <c r="E12" s="86">
        <f>SUMIFS(Evaluation!$H$2:$H$142,Evaluation!$A$2:$A$142,$B12&amp;"*",Evaluation!$A$2:$A$142,"&lt;&gt;*X*")</f>
        <v>0</v>
      </c>
      <c r="F12" s="86">
        <f>SUMIFS(Evaluation!$I$2:$I$142,Evaluation!$A$2:$A$142,$B12&amp;"*",Evaluation!$A$2:$A$142,"&lt;&gt;*X*")</f>
        <v>3</v>
      </c>
      <c r="G12" s="130"/>
      <c r="H12" s="133"/>
      <c r="I12" s="133"/>
      <c r="J12" s="133"/>
      <c r="K12" s="136"/>
      <c r="L12" s="121"/>
      <c r="M12" s="115"/>
      <c r="N12" s="164"/>
      <c r="P12" s="66" t="str">
        <f>$A$53</f>
        <v>Innovation</v>
      </c>
      <c r="Q12" s="78">
        <f t="shared" si="2"/>
        <v>0.1</v>
      </c>
      <c r="R12" s="79">
        <f>MIN(L53,0.1)</f>
        <v>0.01</v>
      </c>
      <c r="S12" s="79">
        <f t="shared" ref="S12:T12" si="8">MIN(M53,0.1)</f>
        <v>0.01</v>
      </c>
      <c r="T12" s="79">
        <f t="shared" si="8"/>
        <v>0.1</v>
      </c>
      <c r="U12" s="87">
        <f t="shared" si="3"/>
        <v>0.1</v>
      </c>
      <c r="V12" s="79">
        <f t="shared" si="4"/>
        <v>9.9999999999999992E-2</v>
      </c>
      <c r="W12" s="79">
        <f t="shared" si="5"/>
        <v>9.9999999999999992E-2</v>
      </c>
      <c r="X12" s="79">
        <f t="shared" si="6"/>
        <v>1</v>
      </c>
      <c r="Z12" s="88">
        <v>0.1</v>
      </c>
      <c r="AA12" s="87">
        <v>0.1</v>
      </c>
      <c r="AB12" s="87">
        <v>0.1</v>
      </c>
    </row>
    <row r="13" spans="1:28" ht="13.5" thickBot="1" x14ac:dyDescent="0.25">
      <c r="A13" s="127"/>
      <c r="B13" s="89" t="s">
        <v>24</v>
      </c>
      <c r="C13" s="90">
        <f>SUMIFS(Evaluation!$F$2:$F$142,Evaluation!$A$2:$A$142,$B13&amp;"*",Evaluation!$A$2:$A$142,"&lt;&gt;*X*")</f>
        <v>2</v>
      </c>
      <c r="D13" s="90">
        <f>SUMIFS(Evaluation!$G$2:$G$142,Evaluation!$A$2:$A$142,$B13&amp;"*",Evaluation!$A$2:$A$142,"&lt;&gt;*X*")</f>
        <v>0</v>
      </c>
      <c r="E13" s="90">
        <f>SUMIFS(Evaluation!$H$2:$H$142,Evaluation!$A$2:$A$142,$B13&amp;"*",Evaluation!$A$2:$A$142,"&lt;&gt;*X*")</f>
        <v>0</v>
      </c>
      <c r="F13" s="90">
        <f>SUMIFS(Evaluation!$I$2:$I$142,Evaluation!$A$2:$A$142,$B13&amp;"*",Evaluation!$A$2:$A$142,"&lt;&gt;*X*")</f>
        <v>2</v>
      </c>
      <c r="G13" s="130"/>
      <c r="H13" s="133"/>
      <c r="I13" s="133"/>
      <c r="J13" s="133"/>
      <c r="K13" s="136"/>
      <c r="L13" s="121"/>
      <c r="M13" s="115"/>
      <c r="N13" s="164"/>
      <c r="P13" s="91" t="s">
        <v>243</v>
      </c>
      <c r="Q13" s="78">
        <f t="shared" si="2"/>
        <v>1.4999999999999999E-2</v>
      </c>
      <c r="R13" s="79"/>
      <c r="S13" s="79"/>
      <c r="T13" s="79"/>
      <c r="U13" s="87"/>
      <c r="V13" s="79"/>
      <c r="W13" s="79"/>
      <c r="X13" s="79"/>
      <c r="Z13" s="80">
        <v>1.4999999999999999E-2</v>
      </c>
      <c r="AA13" s="79">
        <v>2.3699999999999999E-2</v>
      </c>
      <c r="AB13" s="79">
        <v>1.67E-2</v>
      </c>
    </row>
    <row r="14" spans="1:28" ht="13.5" thickBot="1" x14ac:dyDescent="0.25">
      <c r="A14" s="127"/>
      <c r="B14" s="89" t="s">
        <v>157</v>
      </c>
      <c r="C14" s="90">
        <f>SUMIFS(Evaluation!$F$2:$F$142,Evaluation!$A$2:$A$142,$B14&amp;"*",Evaluation!$A$2:$A$142,"&lt;&gt;*X*")</f>
        <v>0</v>
      </c>
      <c r="D14" s="90">
        <f>SUMIFS(Evaluation!$G$2:$G$142,Evaluation!$A$2:$A$142,$B14&amp;"*",Evaluation!$A$2:$A$142,"&lt;&gt;*X*")</f>
        <v>0</v>
      </c>
      <c r="E14" s="90">
        <f>SUMIFS(Evaluation!$H$2:$H$142,Evaluation!$A$2:$A$142,$B14&amp;"*",Evaluation!$A$2:$A$142,"&lt;&gt;*X*")</f>
        <v>0</v>
      </c>
      <c r="F14" s="90">
        <f>SUMIFS(Evaluation!$I$2:$I$142,Evaluation!$A$2:$A$142,$B14&amp;"*",Evaluation!$A$2:$A$142,"&lt;&gt;*X*")</f>
        <v>0</v>
      </c>
      <c r="G14" s="130"/>
      <c r="H14" s="133"/>
      <c r="I14" s="133"/>
      <c r="J14" s="133"/>
      <c r="K14" s="136"/>
      <c r="L14" s="121"/>
      <c r="M14" s="115"/>
      <c r="N14" s="164"/>
      <c r="P14" s="92" t="s">
        <v>207</v>
      </c>
      <c r="Q14" s="93"/>
      <c r="R14" s="94">
        <f>SUM(R3:R12)</f>
        <v>0.47196031746031747</v>
      </c>
      <c r="S14" s="94">
        <f>SUM(S3:S12)</f>
        <v>0.60985317460317456</v>
      </c>
      <c r="T14" s="95">
        <f>SUM(T3:T12)</f>
        <v>1.7495198412698414</v>
      </c>
    </row>
    <row r="15" spans="1:28" x14ac:dyDescent="0.2">
      <c r="A15" s="127"/>
      <c r="B15" s="89" t="s">
        <v>264</v>
      </c>
      <c r="C15" s="90">
        <f>SUMIFS(Evaluation!$F$2:$F$142,Evaluation!$A$2:$A$142,$B15&amp;"*",Evaluation!$A$2:$A$142,"&lt;&gt;*X*")</f>
        <v>1</v>
      </c>
      <c r="D15" s="90">
        <f>SUMIFS(Evaluation!$G$2:$G$142,Evaluation!$A$2:$A$142,$B15&amp;"*",Evaluation!$A$2:$A$142,"&lt;&gt;*X*")</f>
        <v>1</v>
      </c>
      <c r="E15" s="90">
        <f>SUMIFS(Evaluation!$H$2:$H$142,Evaluation!$A$2:$A$142,$B15&amp;"*",Evaluation!$A$2:$A$142,"&lt;&gt;*X*")</f>
        <v>1</v>
      </c>
      <c r="F15" s="90">
        <f>SUMIFS(Evaluation!$I$2:$I$142,Evaluation!$A$2:$A$142,$B15&amp;"*",Evaluation!$A$2:$A$142,"&lt;&gt;*X*")</f>
        <v>1</v>
      </c>
      <c r="G15" s="130"/>
      <c r="H15" s="133"/>
      <c r="I15" s="133"/>
      <c r="J15" s="133"/>
      <c r="K15" s="136"/>
      <c r="L15" s="121"/>
      <c r="M15" s="115"/>
      <c r="N15" s="164"/>
      <c r="P15" s="96"/>
      <c r="R15" s="97" t="str">
        <f>IF(R14&lt;0.3,"UNCLASSIFIED",IF(R14&lt;0.45,"PASS",IF(R14&lt;0.55,"GOOD",IF(R14&lt;0.7,"VERY GOOD",IF(R14&lt;0.85,"EXCELLENT","OUTSTANDING")))))</f>
        <v>GOOD</v>
      </c>
      <c r="S15" s="97" t="str">
        <f t="shared" ref="S15:T15" si="9">IF(S14&lt;0.3,"UNCLASSIFIED",IF(S14&lt;0.45,"PASS",IF(S14&lt;0.55,"GOOD",IF(S14&lt;0.7,"VERY GOOD",IF(S14&lt;0.85,"EXCELLENT","OUTSTANDING")))))</f>
        <v>VERY GOOD</v>
      </c>
      <c r="T15" s="97" t="str">
        <f t="shared" si="9"/>
        <v>OUTSTANDING</v>
      </c>
    </row>
    <row r="16" spans="1:28" ht="13.5" thickBot="1" x14ac:dyDescent="0.25">
      <c r="A16" s="128"/>
      <c r="B16" s="98" t="s">
        <v>266</v>
      </c>
      <c r="C16" s="99">
        <f>SUMIFS(Evaluation!$F$2:$F$142,Evaluation!$A$2:$A$142,$B16&amp;"*",Evaluation!$A$2:$A$142,"&lt;&gt;*X*")</f>
        <v>0</v>
      </c>
      <c r="D16" s="99">
        <f>SUMIFS(Evaluation!$G$2:$G$142,Evaluation!$A$2:$A$142,$B16&amp;"*",Evaluation!$A$2:$A$142,"&lt;&gt;*X*")</f>
        <v>0</v>
      </c>
      <c r="E16" s="99">
        <f>SUMIFS(Evaluation!$H$2:$H$142,Evaluation!$A$2:$A$142,$B16&amp;"*",Evaluation!$A$2:$A$142,"&lt;&gt;*X*")</f>
        <v>0</v>
      </c>
      <c r="F16" s="99">
        <f>SUMIFS(Evaluation!$I$2:$I$142,Evaluation!$A$2:$A$142,$B16&amp;"*",Evaluation!$A$2:$A$142,"&lt;&gt;*X*")</f>
        <v>1</v>
      </c>
      <c r="G16" s="131"/>
      <c r="H16" s="134"/>
      <c r="I16" s="134"/>
      <c r="J16" s="134"/>
      <c r="K16" s="137"/>
      <c r="L16" s="122"/>
      <c r="M16" s="116"/>
      <c r="N16" s="165"/>
      <c r="P16" s="96"/>
      <c r="Q16" s="100"/>
    </row>
    <row r="17" spans="1:21" x14ac:dyDescent="0.2">
      <c r="A17" s="138" t="s">
        <v>206</v>
      </c>
      <c r="B17" s="71" t="s">
        <v>25</v>
      </c>
      <c r="C17" s="72">
        <f>SUMIFS(Evaluation!$F$2:$F$142,Evaluation!$A$2:$A$142,$B17&amp;"*",Evaluation!$A$2:$A$142,"&lt;&gt;*X*")</f>
        <v>9</v>
      </c>
      <c r="D17" s="72">
        <f>SUMIFS(Evaluation!$G$2:$G$142,Evaluation!$A$2:$A$142,$B17&amp;"*",Evaluation!$A$2:$A$142,"&lt;&gt;*X*")</f>
        <v>4</v>
      </c>
      <c r="E17" s="72">
        <f>SUMIFS(Evaluation!$H$2:$H$142,Evaluation!$A$2:$A$142,$B17&amp;"*",Evaluation!$A$2:$A$142,"&lt;&gt;*X*")</f>
        <v>6</v>
      </c>
      <c r="F17" s="72">
        <f>SUMIFS(Evaluation!$I$2:$I$142,Evaluation!$A$2:$A$142,$B17&amp;"*",Evaluation!$A$2:$A$142,"&lt;&gt;*X*")</f>
        <v>8</v>
      </c>
      <c r="G17" s="140">
        <f>SUM(C17:C24)</f>
        <v>14</v>
      </c>
      <c r="H17" s="147">
        <f>SUM(D17:D24)</f>
        <v>6</v>
      </c>
      <c r="I17" s="147">
        <f>SUM(E17:E24)</f>
        <v>11</v>
      </c>
      <c r="J17" s="147">
        <f>SUM(F17:F24)</f>
        <v>32</v>
      </c>
      <c r="K17" s="150">
        <f>Q5/G17</f>
        <v>1.1428571428571429E-2</v>
      </c>
      <c r="L17" s="123">
        <f>H17*K17</f>
        <v>6.8571428571428575E-2</v>
      </c>
      <c r="M17" s="117">
        <f>I17*K17</f>
        <v>0.12571428571428572</v>
      </c>
      <c r="N17" s="160">
        <f>J17*K17</f>
        <v>0.36571428571428571</v>
      </c>
      <c r="Q17" s="66" t="s">
        <v>210</v>
      </c>
      <c r="R17" s="100">
        <v>0.2</v>
      </c>
      <c r="S17" s="100">
        <v>0.2</v>
      </c>
      <c r="T17" s="100">
        <v>0.3</v>
      </c>
      <c r="U17" s="100">
        <v>0.2</v>
      </c>
    </row>
    <row r="18" spans="1:21" x14ac:dyDescent="0.2">
      <c r="A18" s="139"/>
      <c r="B18" s="76" t="s">
        <v>26</v>
      </c>
      <c r="C18" s="77">
        <f>SUMIFS(Evaluation!$F$2:$F$142,Evaluation!$A$2:$A$142,$B18&amp;"*",Evaluation!$A$2:$A$142,"&lt;&gt;*X*")</f>
        <v>0</v>
      </c>
      <c r="D18" s="77">
        <f>SUMIFS(Evaluation!$G$2:$G$142,Evaluation!$A$2:$A$142,$B18&amp;"*",Evaluation!$A$2:$A$142,"&lt;&gt;*X*")</f>
        <v>0</v>
      </c>
      <c r="E18" s="77">
        <f>SUMIFS(Evaluation!$H$2:$H$142,Evaluation!$A$2:$A$142,$B18&amp;"*",Evaluation!$A$2:$A$142,"&lt;&gt;*X*")</f>
        <v>0</v>
      </c>
      <c r="F18" s="77">
        <f>SUMIFS(Evaluation!$I$2:$I$142,Evaluation!$A$2:$A$142,$B18&amp;"*",Evaluation!$A$2:$A$142,"&lt;&gt;*X*")</f>
        <v>10</v>
      </c>
      <c r="G18" s="141"/>
      <c r="H18" s="148"/>
      <c r="I18" s="148"/>
      <c r="J18" s="148"/>
      <c r="K18" s="151"/>
      <c r="L18" s="124"/>
      <c r="M18" s="118"/>
      <c r="N18" s="161"/>
      <c r="Q18" s="66" t="s">
        <v>210</v>
      </c>
      <c r="R18" s="100">
        <v>0.2</v>
      </c>
      <c r="S18" s="100">
        <v>0.2</v>
      </c>
      <c r="T18" s="100">
        <v>0.3</v>
      </c>
      <c r="U18" s="100">
        <v>0.2</v>
      </c>
    </row>
    <row r="19" spans="1:21" x14ac:dyDescent="0.2">
      <c r="A19" s="139"/>
      <c r="B19" s="76" t="s">
        <v>27</v>
      </c>
      <c r="C19" s="77">
        <f>SUMIFS(Evaluation!$F$2:$F$142,Evaluation!$A$2:$A$142,$B19&amp;"*",Evaluation!$A$2:$A$142,"&lt;&gt;*X*")</f>
        <v>0</v>
      </c>
      <c r="D19" s="77">
        <f>SUMIFS(Evaluation!$G$2:$G$142,Evaluation!$A$2:$A$142,$B19&amp;"*",Evaluation!$A$2:$A$142,"&lt;&gt;*X*")</f>
        <v>0</v>
      </c>
      <c r="E19" s="77">
        <f>SUMIFS(Evaluation!$H$2:$H$142,Evaluation!$A$2:$A$142,$B19&amp;"*",Evaluation!$A$2:$A$142,"&lt;&gt;*X*")</f>
        <v>0</v>
      </c>
      <c r="F19" s="77">
        <f>SUMIFS(Evaluation!$I$2:$I$142,Evaluation!$A$2:$A$142,$B19&amp;"*",Evaluation!$A$2:$A$142,"&lt;&gt;*X*")</f>
        <v>2</v>
      </c>
      <c r="G19" s="141"/>
      <c r="H19" s="148"/>
      <c r="I19" s="148"/>
      <c r="J19" s="148"/>
      <c r="K19" s="151"/>
      <c r="L19" s="124"/>
      <c r="M19" s="118"/>
      <c r="N19" s="161"/>
      <c r="Q19" s="66" t="s">
        <v>212</v>
      </c>
      <c r="R19" s="79">
        <v>0.4</v>
      </c>
      <c r="S19" s="79">
        <v>0.4</v>
      </c>
      <c r="T19" s="79">
        <v>0.4</v>
      </c>
      <c r="U19" s="79">
        <v>0.4</v>
      </c>
    </row>
    <row r="20" spans="1:21" ht="15" customHeight="1" x14ac:dyDescent="0.2">
      <c r="A20" s="139"/>
      <c r="B20" s="76" t="s">
        <v>28</v>
      </c>
      <c r="C20" s="77">
        <f>SUMIFS(Evaluation!$F$2:$F$142,Evaluation!$A$2:$A$142,$B20&amp;"*",Evaluation!$A$2:$A$142,"&lt;&gt;*X*")</f>
        <v>5</v>
      </c>
      <c r="D20" s="77">
        <f>SUMIFS(Evaluation!$G$2:$G$142,Evaluation!$A$2:$A$142,$B20&amp;"*",Evaluation!$A$2:$A$142,"&lt;&gt;*X*")</f>
        <v>2</v>
      </c>
      <c r="E20" s="77">
        <f>SUMIFS(Evaluation!$H$2:$H$142,Evaluation!$A$2:$A$142,$B20&amp;"*",Evaluation!$A$2:$A$142,"&lt;&gt;*X*")</f>
        <v>5</v>
      </c>
      <c r="F20" s="77">
        <f>SUMIFS(Evaluation!$I$2:$I$142,Evaluation!$A$2:$A$142,$B20&amp;"*",Evaluation!$A$2:$A$142,"&lt;&gt;*X*")</f>
        <v>3</v>
      </c>
      <c r="G20" s="141"/>
      <c r="H20" s="148"/>
      <c r="I20" s="148"/>
      <c r="J20" s="148"/>
      <c r="K20" s="151"/>
      <c r="L20" s="124"/>
      <c r="M20" s="118"/>
      <c r="N20" s="161"/>
      <c r="Q20" s="66" t="s">
        <v>213</v>
      </c>
      <c r="R20" s="79">
        <v>0.55000000000000004</v>
      </c>
      <c r="S20" s="79">
        <v>0.55000000000000004</v>
      </c>
      <c r="T20" s="79">
        <v>0.55000000000000004</v>
      </c>
      <c r="U20" s="79">
        <v>0.55000000000000004</v>
      </c>
    </row>
    <row r="21" spans="1:21" ht="14.45" customHeight="1" x14ac:dyDescent="0.2">
      <c r="A21" s="139"/>
      <c r="B21" s="76" t="s">
        <v>29</v>
      </c>
      <c r="C21" s="77">
        <f>SUMIFS(Evaluation!$F$2:$F$142,Evaluation!$A$2:$A$142,$B21&amp;"*",Evaluation!$A$2:$A$142,"&lt;&gt;*X*")</f>
        <v>0</v>
      </c>
      <c r="D21" s="77">
        <f>SUMIFS(Evaluation!$G$2:$G$142,Evaluation!$A$2:$A$142,$B21&amp;"*",Evaluation!$A$2:$A$142,"&lt;&gt;*X*")</f>
        <v>0</v>
      </c>
      <c r="E21" s="77">
        <f>SUMIFS(Evaluation!$H$2:$H$142,Evaluation!$A$2:$A$142,$B21&amp;"*",Evaluation!$A$2:$A$142,"&lt;&gt;*X*")</f>
        <v>0</v>
      </c>
      <c r="F21" s="77">
        <f>SUMIFS(Evaluation!$I$2:$I$142,Evaluation!$A$2:$A$142,$B21&amp;"*",Evaluation!$A$2:$A$142,"&lt;&gt;*X*")</f>
        <v>3</v>
      </c>
      <c r="G21" s="141"/>
      <c r="H21" s="148"/>
      <c r="I21" s="148"/>
      <c r="J21" s="148"/>
      <c r="K21" s="151"/>
      <c r="L21" s="124"/>
      <c r="M21" s="118"/>
      <c r="N21" s="161"/>
      <c r="Q21" s="66" t="s">
        <v>214</v>
      </c>
      <c r="R21" s="79">
        <v>0.7</v>
      </c>
      <c r="S21" s="79">
        <v>0.7</v>
      </c>
      <c r="T21" s="79">
        <v>0.7</v>
      </c>
      <c r="U21" s="79">
        <v>0.7</v>
      </c>
    </row>
    <row r="22" spans="1:21" x14ac:dyDescent="0.2">
      <c r="A22" s="139"/>
      <c r="B22" s="76" t="s">
        <v>30</v>
      </c>
      <c r="C22" s="77">
        <f>SUMIFS(Evaluation!$F$2:$F$142,Evaluation!$A$2:$A$142,$B22&amp;"*",Evaluation!$A$2:$A$142,"&lt;&gt;*X*")</f>
        <v>0</v>
      </c>
      <c r="D22" s="77">
        <f>SUMIFS(Evaluation!$G$2:$G$142,Evaluation!$A$2:$A$142,$B22&amp;"*",Evaluation!$A$2:$A$142,"&lt;&gt;*X*")</f>
        <v>0</v>
      </c>
      <c r="E22" s="77">
        <f>SUMIFS(Evaluation!$H$2:$H$142,Evaluation!$A$2:$A$142,$B22&amp;"*",Evaluation!$A$2:$A$142,"&lt;&gt;*X*")</f>
        <v>0</v>
      </c>
      <c r="F22" s="77">
        <f>SUMIFS(Evaluation!$I$2:$I$142,Evaluation!$A$2:$A$142,$B22&amp;"*",Evaluation!$A$2:$A$142,"&lt;&gt;*X*")</f>
        <v>5</v>
      </c>
      <c r="G22" s="141"/>
      <c r="H22" s="148"/>
      <c r="I22" s="148"/>
      <c r="J22" s="148"/>
      <c r="K22" s="151"/>
      <c r="L22" s="124"/>
      <c r="M22" s="118"/>
      <c r="N22" s="161"/>
      <c r="Q22" s="66" t="s">
        <v>215</v>
      </c>
      <c r="R22" s="79">
        <v>0.85</v>
      </c>
      <c r="S22" s="79">
        <v>0.85</v>
      </c>
      <c r="T22" s="79">
        <v>0.85</v>
      </c>
      <c r="U22" s="79">
        <v>0.85</v>
      </c>
    </row>
    <row r="23" spans="1:21" x14ac:dyDescent="0.2">
      <c r="A23" s="139"/>
      <c r="B23" s="76" t="s">
        <v>31</v>
      </c>
      <c r="C23" s="77">
        <f>SUMIFS(Evaluation!$F$2:$F$142,Evaluation!$A$2:$A$142,$B23&amp;"*",Evaluation!$A$2:$A$142,"&lt;&gt;*X*")</f>
        <v>0</v>
      </c>
      <c r="D23" s="77">
        <f>SUMIFS(Evaluation!$G$2:$G$142,Evaluation!$A$2:$A$142,$B23&amp;"*",Evaluation!$A$2:$A$142,"&lt;&gt;*X*")</f>
        <v>0</v>
      </c>
      <c r="E23" s="77">
        <f>SUMIFS(Evaluation!$H$2:$H$142,Evaluation!$A$2:$A$142,$B23&amp;"*",Evaluation!$A$2:$A$142,"&lt;&gt;*X*")</f>
        <v>0</v>
      </c>
      <c r="F23" s="77">
        <f>SUMIFS(Evaluation!$I$2:$I$142,Evaluation!$A$2:$A$142,$B23&amp;"*",Evaluation!$A$2:$A$142,"&lt;&gt;*X*")</f>
        <v>0</v>
      </c>
      <c r="G23" s="141"/>
      <c r="H23" s="148"/>
      <c r="I23" s="148"/>
      <c r="J23" s="148"/>
      <c r="K23" s="151"/>
      <c r="L23" s="124"/>
      <c r="M23" s="118"/>
      <c r="N23" s="161"/>
    </row>
    <row r="24" spans="1:21" ht="13.5" thickBot="1" x14ac:dyDescent="0.25">
      <c r="A24" s="139"/>
      <c r="B24" s="76" t="s">
        <v>32</v>
      </c>
      <c r="C24" s="77">
        <f>SUMIFS(Evaluation!$F$2:$F$142,Evaluation!$A$2:$A$142,$B24&amp;"*",Evaluation!$A$2:$A$142,"&lt;&gt;*X*")</f>
        <v>0</v>
      </c>
      <c r="D24" s="77">
        <f>SUMIFS(Evaluation!$G$2:$G$142,Evaluation!$A$2:$A$142,$B24&amp;"*",Evaluation!$A$2:$A$142,"&lt;&gt;*X*")</f>
        <v>0</v>
      </c>
      <c r="E24" s="77">
        <f>SUMIFS(Evaluation!$H$2:$H$142,Evaluation!$A$2:$A$142,$B24&amp;"*",Evaluation!$A$2:$A$142,"&lt;&gt;*X*")</f>
        <v>0</v>
      </c>
      <c r="F24" s="77">
        <f>SUMIFS(Evaluation!$I$2:$I$142,Evaluation!$A$2:$A$142,$B24&amp;"*",Evaluation!$A$2:$A$142,"&lt;&gt;*X*")</f>
        <v>1</v>
      </c>
      <c r="G24" s="141"/>
      <c r="H24" s="148"/>
      <c r="I24" s="148"/>
      <c r="J24" s="148"/>
      <c r="K24" s="152"/>
      <c r="L24" s="125"/>
      <c r="M24" s="119"/>
      <c r="N24" s="162"/>
    </row>
    <row r="25" spans="1:21" x14ac:dyDescent="0.2">
      <c r="A25" s="126" t="s">
        <v>209</v>
      </c>
      <c r="B25" s="83" t="s">
        <v>12</v>
      </c>
      <c r="C25" s="84">
        <f>SUMIFS(Evaluation!$F$2:$F$142,Evaluation!$A$2:$A$142,$B25&amp;"*",Evaluation!$A$2:$A$142,"&lt;&gt;*X*")</f>
        <v>2</v>
      </c>
      <c r="D25" s="84">
        <f>SUMIFS(Evaluation!$G$2:$G$142,Evaluation!$A$2:$A$142,$B25&amp;"*",Evaluation!$A$2:$A$142,"&lt;&gt;*X*")</f>
        <v>2</v>
      </c>
      <c r="E25" s="84">
        <f>SUMIFS(Evaluation!$H$2:$H$142,Evaluation!$A$2:$A$142,$B25&amp;"*",Evaluation!$A$2:$A$142,"&lt;&gt;*X*")</f>
        <v>2</v>
      </c>
      <c r="F25" s="84">
        <f>SUMIFS(Evaluation!$I$2:$I$142,Evaluation!$A$2:$A$142,$B25&amp;"*",Evaluation!$A$2:$A$142,"&lt;&gt;*X*")</f>
        <v>2</v>
      </c>
      <c r="G25" s="129">
        <f>SUM(C25:C26)</f>
        <v>12</v>
      </c>
      <c r="H25" s="132">
        <f>SUM(D25:D26)</f>
        <v>5</v>
      </c>
      <c r="I25" s="132">
        <f>SUM(E25:E26)</f>
        <v>6</v>
      </c>
      <c r="J25" s="132">
        <f>SUM(F25:F26)</f>
        <v>10</v>
      </c>
      <c r="K25" s="135">
        <f>Q6/G25</f>
        <v>6.6666666666666671E-3</v>
      </c>
      <c r="L25" s="120">
        <f>H25*K25</f>
        <v>3.3333333333333333E-2</v>
      </c>
      <c r="M25" s="114">
        <f>I25*K25</f>
        <v>0.04</v>
      </c>
      <c r="N25" s="163">
        <f>J25*K25</f>
        <v>6.6666666666666666E-2</v>
      </c>
    </row>
    <row r="26" spans="1:21" ht="13.5" thickBot="1" x14ac:dyDescent="0.25">
      <c r="A26" s="127"/>
      <c r="B26" s="85" t="s">
        <v>11</v>
      </c>
      <c r="C26" s="86">
        <f>SUMIFS(Evaluation!$F$2:$F$142,Evaluation!$A$2:$A$142,$B26&amp;"*",Evaluation!$A$2:$A$142,"&lt;&gt;*X*")</f>
        <v>10</v>
      </c>
      <c r="D26" s="86">
        <f>SUMIFS(Evaluation!$G$2:$G$142,Evaluation!$A$2:$A$142,$B26&amp;"*",Evaluation!$A$2:$A$142,"&lt;&gt;*X*")</f>
        <v>3</v>
      </c>
      <c r="E26" s="86">
        <f>SUMIFS(Evaluation!$H$2:$H$142,Evaluation!$A$2:$A$142,$B26&amp;"*",Evaluation!$A$2:$A$142,"&lt;&gt;*X*")</f>
        <v>4</v>
      </c>
      <c r="F26" s="86">
        <f>SUMIFS(Evaluation!$I$2:$I$142,Evaluation!$A$2:$A$142,$B26&amp;"*",Evaluation!$A$2:$A$142,"&lt;&gt;*X*")</f>
        <v>8</v>
      </c>
      <c r="G26" s="130"/>
      <c r="H26" s="133"/>
      <c r="I26" s="133"/>
      <c r="J26" s="133"/>
      <c r="K26" s="137"/>
      <c r="L26" s="122"/>
      <c r="M26" s="116"/>
      <c r="N26" s="165"/>
    </row>
    <row r="27" spans="1:21" x14ac:dyDescent="0.2">
      <c r="A27" s="138" t="s">
        <v>211</v>
      </c>
      <c r="B27" s="71" t="s">
        <v>10</v>
      </c>
      <c r="C27" s="72">
        <f>SUMIFS(Evaluation!$F$2:$F$142,Evaluation!$A$2:$A$142,$B27&amp;"*",Evaluation!$A$2:$A$142,"&lt;&gt;*X*")</f>
        <v>0</v>
      </c>
      <c r="D27" s="72">
        <f>SUMIFS(Evaluation!$G$2:$G$142,Evaluation!$A$2:$A$142,$B27&amp;"*",Evaluation!$A$2:$A$142,"&lt;&gt;*X*")</f>
        <v>0</v>
      </c>
      <c r="E27" s="72">
        <f>SUMIFS(Evaluation!$H$2:$H$142,Evaluation!$A$2:$A$142,$B27&amp;"*",Evaluation!$A$2:$A$142,"&lt;&gt;*X*")</f>
        <v>0</v>
      </c>
      <c r="F27" s="72">
        <f>SUMIFS(Evaluation!$I$2:$I$142,Evaluation!$A$2:$A$142,$B27&amp;"*",Evaluation!$A$2:$A$142,"&lt;&gt;*X*")</f>
        <v>4</v>
      </c>
      <c r="G27" s="140">
        <f>SUM(C27:C31)</f>
        <v>2</v>
      </c>
      <c r="H27" s="147">
        <f>SUM(D27:D31)</f>
        <v>1</v>
      </c>
      <c r="I27" s="147">
        <f t="shared" ref="I27:J27" si="10">SUM(E27:E31)</f>
        <v>1</v>
      </c>
      <c r="J27" s="147">
        <f t="shared" si="10"/>
        <v>8</v>
      </c>
      <c r="K27" s="150">
        <f>IF(G27=0,0,Q7/G27)</f>
        <v>3.7499999999999999E-2</v>
      </c>
      <c r="L27" s="123">
        <f>H27*K27</f>
        <v>3.7499999999999999E-2</v>
      </c>
      <c r="M27" s="117">
        <f>I27*K27</f>
        <v>3.7499999999999999E-2</v>
      </c>
      <c r="N27" s="160">
        <f>J27*K27</f>
        <v>0.3</v>
      </c>
    </row>
    <row r="28" spans="1:21" x14ac:dyDescent="0.2">
      <c r="A28" s="139"/>
      <c r="B28" s="76" t="s">
        <v>9</v>
      </c>
      <c r="C28" s="77">
        <f>SUMIFS(Evaluation!$F$2:$F$142,Evaluation!$A$2:$A$142,$B28&amp;"*",Evaluation!$A$2:$A$142,"&lt;&gt;*X*")</f>
        <v>1</v>
      </c>
      <c r="D28" s="77">
        <f>SUMIFS(Evaluation!$G$2:$G$142,Evaluation!$A$2:$A$142,$B28&amp;"*",Evaluation!$A$2:$A$142,"&lt;&gt;*X*")</f>
        <v>1</v>
      </c>
      <c r="E28" s="77">
        <f>SUMIFS(Evaluation!$H$2:$H$142,Evaluation!$A$2:$A$142,$B28&amp;"*",Evaluation!$A$2:$A$142,"&lt;&gt;*X*")</f>
        <v>1</v>
      </c>
      <c r="F28" s="77">
        <f>SUMIFS(Evaluation!$I$2:$I$142,Evaluation!$A$2:$A$142,$B28&amp;"*",Evaluation!$A$2:$A$142,"&lt;&gt;*X*")</f>
        <v>1</v>
      </c>
      <c r="G28" s="141"/>
      <c r="H28" s="148"/>
      <c r="I28" s="148"/>
      <c r="J28" s="148"/>
      <c r="K28" s="151"/>
      <c r="L28" s="124"/>
      <c r="M28" s="118"/>
      <c r="N28" s="161"/>
    </row>
    <row r="29" spans="1:21" x14ac:dyDescent="0.2">
      <c r="A29" s="139"/>
      <c r="B29" s="76" t="s">
        <v>8</v>
      </c>
      <c r="C29" s="77">
        <f>SUMIFS(Evaluation!$F$2:$F$142,Evaluation!$A$2:$A$142,$B29&amp;"*",Evaluation!$A$2:$A$142,"&lt;&gt;*X*")</f>
        <v>1</v>
      </c>
      <c r="D29" s="77">
        <f>SUMIFS(Evaluation!$G$2:$G$142,Evaluation!$A$2:$A$142,$B29&amp;"*",Evaluation!$A$2:$A$142,"&lt;&gt;*X*")</f>
        <v>0</v>
      </c>
      <c r="E29" s="77">
        <f>SUMIFS(Evaluation!$H$2:$H$142,Evaluation!$A$2:$A$142,$B29&amp;"*",Evaluation!$A$2:$A$142,"&lt;&gt;*X*")</f>
        <v>0</v>
      </c>
      <c r="F29" s="77">
        <f>SUMIFS(Evaluation!$I$2:$I$142,Evaluation!$A$2:$A$142,$B29&amp;"*",Evaluation!$A$2:$A$142,"&lt;&gt;*X*")</f>
        <v>2</v>
      </c>
      <c r="G29" s="141"/>
      <c r="H29" s="148"/>
      <c r="I29" s="148"/>
      <c r="J29" s="148"/>
      <c r="K29" s="151"/>
      <c r="L29" s="124"/>
      <c r="M29" s="118"/>
      <c r="N29" s="161"/>
    </row>
    <row r="30" spans="1:21" x14ac:dyDescent="0.2">
      <c r="A30" s="139"/>
      <c r="B30" s="76" t="s">
        <v>7</v>
      </c>
      <c r="C30" s="77">
        <f>SUMIFS(Evaluation!$F$2:$F$142,Evaluation!$A$2:$A$142,$B30&amp;"*",Evaluation!$A$2:$A$142,"&lt;&gt;*X*")</f>
        <v>0</v>
      </c>
      <c r="D30" s="77">
        <f>SUMIFS(Evaluation!$G$2:$G$142,Evaluation!$A$2:$A$142,$B30&amp;"*",Evaluation!$A$2:$A$142,"&lt;&gt;*X*")</f>
        <v>0</v>
      </c>
      <c r="E30" s="77">
        <f>SUMIFS(Evaluation!$H$2:$H$142,Evaluation!$A$2:$A$142,$B30&amp;"*",Evaluation!$A$2:$A$142,"&lt;&gt;*X*")</f>
        <v>0</v>
      </c>
      <c r="F30" s="77">
        <f>SUMIFS(Evaluation!$I$2:$I$142,Evaluation!$A$2:$A$142,$B30&amp;"*",Evaluation!$A$2:$A$142,"&lt;&gt;*X*")</f>
        <v>0</v>
      </c>
      <c r="G30" s="141"/>
      <c r="H30" s="148"/>
      <c r="I30" s="148"/>
      <c r="J30" s="148"/>
      <c r="K30" s="151"/>
      <c r="L30" s="124"/>
      <c r="M30" s="118"/>
      <c r="N30" s="161"/>
    </row>
    <row r="31" spans="1:21" ht="13.5" thickBot="1" x14ac:dyDescent="0.25">
      <c r="A31" s="139"/>
      <c r="B31" s="81" t="s">
        <v>272</v>
      </c>
      <c r="C31" s="82">
        <f>SUMIFS(Evaluation!$F$2:$F$142,Evaluation!$A$2:$A$142,$B31&amp;"*",Evaluation!$A$2:$A$142,"&lt;&gt;*X*")</f>
        <v>0</v>
      </c>
      <c r="D31" s="82">
        <f>SUMIFS(Evaluation!$G$2:$G$142,Evaluation!$A$2:$A$142,$B31&amp;"*",Evaluation!$A$2:$A$142,"&lt;&gt;*X*")</f>
        <v>0</v>
      </c>
      <c r="E31" s="82">
        <f>SUMIFS(Evaluation!$H$2:$H$142,Evaluation!$A$2:$A$142,$B31&amp;"*",Evaluation!$A$2:$A$142,"&lt;&gt;*X*")</f>
        <v>0</v>
      </c>
      <c r="F31" s="82">
        <f>SUMIFS(Evaluation!$I$2:$I$142,Evaluation!$A$2:$A$142,$B31&amp;"*",Evaluation!$A$2:$A$142,"&lt;&gt;*X*")</f>
        <v>1</v>
      </c>
      <c r="G31" s="141"/>
      <c r="H31" s="148"/>
      <c r="I31" s="149"/>
      <c r="J31" s="149"/>
      <c r="K31" s="152"/>
      <c r="L31" s="125"/>
      <c r="M31" s="119"/>
      <c r="N31" s="162"/>
    </row>
    <row r="32" spans="1:21" x14ac:dyDescent="0.2">
      <c r="A32" s="126" t="s">
        <v>216</v>
      </c>
      <c r="B32" s="83" t="s">
        <v>6</v>
      </c>
      <c r="C32" s="84">
        <f>SUMIFS(Evaluation!$F$2:$F$142,Evaluation!$A$2:$A$142,$B32&amp;"*",Evaluation!$A$2:$A$142,"&lt;&gt;*X*")</f>
        <v>5</v>
      </c>
      <c r="D32" s="84">
        <f>SUMIFS(Evaluation!$G$2:$G$142,Evaluation!$A$2:$A$142,$B32&amp;"*",Evaluation!$A$2:$A$142,"&lt;&gt;*X*")</f>
        <v>3</v>
      </c>
      <c r="E32" s="84">
        <f>SUMIFS(Evaluation!$H$2:$H$142,Evaluation!$A$2:$A$142,$B32&amp;"*",Evaluation!$A$2:$A$142,"&lt;&gt;*X*")</f>
        <v>3</v>
      </c>
      <c r="F32" s="84">
        <f>SUMIFS(Evaluation!$I$2:$I$142,Evaluation!$A$2:$A$142,$B32&amp;"*",Evaluation!$A$2:$A$142,"&lt;&gt;*X*")</f>
        <v>5</v>
      </c>
      <c r="G32" s="129">
        <f>SUM(C32:C36)</f>
        <v>12</v>
      </c>
      <c r="H32" s="132">
        <f>SUM(D32:D36)</f>
        <v>4</v>
      </c>
      <c r="I32" s="132">
        <f>SUM(E32:E36)</f>
        <v>5</v>
      </c>
      <c r="J32" s="132">
        <f>SUM(F32:F36)</f>
        <v>7</v>
      </c>
      <c r="K32" s="135">
        <f>Q8/G32</f>
        <v>1.2916666666666667E-2</v>
      </c>
      <c r="L32" s="120">
        <f>H32*K32</f>
        <v>5.1666666666666666E-2</v>
      </c>
      <c r="M32" s="114">
        <f>I32*K32</f>
        <v>6.4583333333333326E-2</v>
      </c>
      <c r="N32" s="163">
        <f>J32*K32</f>
        <v>9.0416666666666673E-2</v>
      </c>
    </row>
    <row r="33" spans="1:17" x14ac:dyDescent="0.2">
      <c r="A33" s="127"/>
      <c r="B33" s="85" t="s">
        <v>5</v>
      </c>
      <c r="C33" s="86">
        <f>SUMIFS(Evaluation!$F$2:$F$142,Evaluation!$A$2:$A$142,$B33&amp;"*",Evaluation!$A$2:$A$142,"&lt;&gt;*X*")</f>
        <v>1</v>
      </c>
      <c r="D33" s="86">
        <f>SUMIFS(Evaluation!$G$2:$G$142,Evaluation!$A$2:$A$142,$B33&amp;"*",Evaluation!$A$2:$A$142,"&lt;&gt;*X*")</f>
        <v>0</v>
      </c>
      <c r="E33" s="86">
        <f>SUMIFS(Evaluation!$H$2:$H$142,Evaluation!$A$2:$A$142,$B33&amp;"*",Evaluation!$A$2:$A$142,"&lt;&gt;*X*")</f>
        <v>0</v>
      </c>
      <c r="F33" s="86">
        <f>SUMIFS(Evaluation!$I$2:$I$142,Evaluation!$A$2:$A$142,$B33&amp;"*",Evaluation!$A$2:$A$142,"&lt;&gt;*X*")</f>
        <v>1</v>
      </c>
      <c r="G33" s="130"/>
      <c r="H33" s="133"/>
      <c r="I33" s="133"/>
      <c r="J33" s="133"/>
      <c r="K33" s="136"/>
      <c r="L33" s="121"/>
      <c r="M33" s="115"/>
      <c r="N33" s="164"/>
      <c r="Q33" s="79"/>
    </row>
    <row r="34" spans="1:17" x14ac:dyDescent="0.2">
      <c r="A34" s="127"/>
      <c r="B34" s="85" t="s">
        <v>4</v>
      </c>
      <c r="C34" s="86">
        <f>SUMIFS(Evaluation!$F$2:$F$142,Evaluation!$A$2:$A$142,$B34&amp;"*",Evaluation!$A$2:$A$142,"&lt;&gt;*X*")</f>
        <v>4</v>
      </c>
      <c r="D34" s="86">
        <f>SUMIFS(Evaluation!$G$2:$G$142,Evaluation!$A$2:$A$142,$B34&amp;"*",Evaluation!$A$2:$A$142,"&lt;&gt;*X*")</f>
        <v>0</v>
      </c>
      <c r="E34" s="86">
        <f>SUMIFS(Evaluation!$H$2:$H$142,Evaluation!$A$2:$A$142,$B34&amp;"*",Evaluation!$A$2:$A$142,"&lt;&gt;*X*")</f>
        <v>1</v>
      </c>
      <c r="F34" s="86">
        <f>SUMIFS(Evaluation!$I$2:$I$142,Evaluation!$A$2:$A$142,$B34&amp;"*",Evaluation!$A$2:$A$142,"&lt;&gt;*X*")</f>
        <v>0</v>
      </c>
      <c r="G34" s="130"/>
      <c r="H34" s="133"/>
      <c r="I34" s="133"/>
      <c r="J34" s="133"/>
      <c r="K34" s="136"/>
      <c r="L34" s="121"/>
      <c r="M34" s="115"/>
      <c r="N34" s="164"/>
      <c r="Q34" s="79"/>
    </row>
    <row r="35" spans="1:17" x14ac:dyDescent="0.2">
      <c r="A35" s="127"/>
      <c r="B35" s="85" t="s">
        <v>3</v>
      </c>
      <c r="C35" s="86">
        <f>SUMIFS(Evaluation!$F$2:$F$142,Evaluation!$A$2:$A$142,$B35&amp;"*",Evaluation!$A$2:$A$142,"&lt;&gt;*X*")</f>
        <v>1</v>
      </c>
      <c r="D35" s="86">
        <f>SUMIFS(Evaluation!$G$2:$G$142,Evaluation!$A$2:$A$142,$B35&amp;"*",Evaluation!$A$2:$A$142,"&lt;&gt;*X*")</f>
        <v>1</v>
      </c>
      <c r="E35" s="86">
        <f>SUMIFS(Evaluation!$H$2:$H$142,Evaluation!$A$2:$A$142,$B35&amp;"*",Evaluation!$A$2:$A$142,"&lt;&gt;*X*")</f>
        <v>1</v>
      </c>
      <c r="F35" s="86">
        <f>SUMIFS(Evaluation!$I$2:$I$142,Evaluation!$A$2:$A$142,$B35&amp;"*",Evaluation!$A$2:$A$142,"&lt;&gt;*X*")</f>
        <v>1</v>
      </c>
      <c r="G35" s="130"/>
      <c r="H35" s="133"/>
      <c r="I35" s="133"/>
      <c r="J35" s="133"/>
      <c r="K35" s="136"/>
      <c r="L35" s="121"/>
      <c r="M35" s="115"/>
      <c r="N35" s="164"/>
      <c r="O35" s="79"/>
      <c r="Q35" s="79"/>
    </row>
    <row r="36" spans="1:17" ht="13.5" thickBot="1" x14ac:dyDescent="0.25">
      <c r="A36" s="127"/>
      <c r="B36" s="85" t="s">
        <v>2</v>
      </c>
      <c r="C36" s="86">
        <f>SUMIFS(Evaluation!$F$2:$F$142,Evaluation!$A$2:$A$142,$B36&amp;"*",Evaluation!$A$2:$A$142,"&lt;&gt;*X*")</f>
        <v>1</v>
      </c>
      <c r="D36" s="86">
        <f>SUMIFS(Evaluation!$G$2:$G$142,Evaluation!$A$2:$A$142,$B36&amp;"*",Evaluation!$A$2:$A$142,"&lt;&gt;*X*")</f>
        <v>0</v>
      </c>
      <c r="E36" s="86">
        <f>SUMIFS(Evaluation!$H$2:$H$142,Evaluation!$A$2:$A$142,$B36&amp;"*",Evaluation!$A$2:$A$142,"&lt;&gt;*X*")</f>
        <v>0</v>
      </c>
      <c r="F36" s="86">
        <f>SUMIFS(Evaluation!$I$2:$I$142,Evaluation!$A$2:$A$142,$B36&amp;"*",Evaluation!$A$2:$A$142,"&lt;&gt;*X*")</f>
        <v>0</v>
      </c>
      <c r="G36" s="130"/>
      <c r="H36" s="133"/>
      <c r="I36" s="133"/>
      <c r="J36" s="133"/>
      <c r="K36" s="137"/>
      <c r="L36" s="122"/>
      <c r="M36" s="116"/>
      <c r="N36" s="165"/>
      <c r="O36" s="79"/>
      <c r="P36" s="79"/>
      <c r="Q36" s="79"/>
    </row>
    <row r="37" spans="1:17" x14ac:dyDescent="0.2">
      <c r="A37" s="138" t="s">
        <v>217</v>
      </c>
      <c r="B37" s="71" t="s">
        <v>186</v>
      </c>
      <c r="C37" s="72">
        <f>SUMIFS(Evaluation!$F$2:$F$142,Evaluation!$A$2:$A$142,$B37&amp;"*",Evaluation!$A$2:$A$142,"&lt;&gt;*X*")</f>
        <v>4</v>
      </c>
      <c r="D37" s="72">
        <f>SUMIFS(Evaluation!$G$2:$G$142,Evaluation!$A$2:$A$142,$B37&amp;"*",Evaluation!$A$2:$A$142,"&lt;&gt;*X*")</f>
        <v>3</v>
      </c>
      <c r="E37" s="72">
        <f>SUMIFS(Evaluation!$H$2:$H$142,Evaluation!$A$2:$A$142,$B37&amp;"*",Evaluation!$A$2:$A$142,"&lt;&gt;*X*")</f>
        <v>3</v>
      </c>
      <c r="F37" s="72">
        <f>SUMIFS(Evaluation!$I$2:$I$142,Evaluation!$A$2:$A$142,$B37&amp;"*",Evaluation!$A$2:$A$142,"&lt;&gt;*X*")</f>
        <v>3</v>
      </c>
      <c r="G37" s="140">
        <f>SUM(C37:C42)</f>
        <v>9</v>
      </c>
      <c r="H37" s="147">
        <f t="shared" ref="H37" si="11">SUM(D37:D42)</f>
        <v>5</v>
      </c>
      <c r="I37" s="147">
        <f t="shared" ref="I37" si="12">SUM(E37:E42)</f>
        <v>5</v>
      </c>
      <c r="J37" s="147">
        <f t="shared" ref="J37" si="13">SUM(F37:F42)</f>
        <v>5</v>
      </c>
      <c r="K37" s="150">
        <f>Q9/G37</f>
        <v>7.7777777777777784E-3</v>
      </c>
      <c r="L37" s="123">
        <f>H37*K37</f>
        <v>3.888888888888889E-2</v>
      </c>
      <c r="M37" s="117">
        <f>I37*K37</f>
        <v>3.888888888888889E-2</v>
      </c>
      <c r="N37" s="160">
        <f>J37*K37</f>
        <v>3.888888888888889E-2</v>
      </c>
      <c r="P37" s="79"/>
      <c r="Q37" s="79"/>
    </row>
    <row r="38" spans="1:17" x14ac:dyDescent="0.2">
      <c r="A38" s="139"/>
      <c r="B38" s="76" t="s">
        <v>578</v>
      </c>
      <c r="C38" s="77">
        <f>SUMIFS(Evaluation!$F$2:$F$142,Evaluation!$A$2:$A$142,$B38&amp;"*",Evaluation!$A$2:$A$142,"&lt;&gt;*X*")</f>
        <v>1</v>
      </c>
      <c r="D38" s="77">
        <f>SUMIFS(Evaluation!$G$2:$G$142,Evaluation!$A$2:$A$142,$B38&amp;"*",Evaluation!$A$2:$A$142,"&lt;&gt;*X*")</f>
        <v>0</v>
      </c>
      <c r="E38" s="77">
        <f>SUMIFS(Evaluation!$H$2:$H$142,Evaluation!$A$2:$A$142,$B38&amp;"*",Evaluation!$A$2:$A$142,"&lt;&gt;*X*")</f>
        <v>0</v>
      </c>
      <c r="F38" s="77">
        <f>SUMIFS(Evaluation!$I$2:$I$142,Evaluation!$A$2:$A$142,$B38&amp;"*",Evaluation!$A$2:$A$142,"&lt;&gt;*X*")</f>
        <v>0</v>
      </c>
      <c r="G38" s="141"/>
      <c r="H38" s="148"/>
      <c r="I38" s="148"/>
      <c r="J38" s="148"/>
      <c r="K38" s="151"/>
      <c r="L38" s="124"/>
      <c r="M38" s="118"/>
      <c r="N38" s="161"/>
    </row>
    <row r="39" spans="1:17" x14ac:dyDescent="0.2">
      <c r="A39" s="139"/>
      <c r="B39" s="76" t="s">
        <v>579</v>
      </c>
      <c r="C39" s="77">
        <f>SUMIFS(Evaluation!$F$2:$F$142,Evaluation!$A$2:$A$142,$B39&amp;"*",Evaluation!$A$2:$A$142,"&lt;&gt;*X*")</f>
        <v>1</v>
      </c>
      <c r="D39" s="77">
        <f>SUMIFS(Evaluation!$G$2:$G$142,Evaluation!$A$2:$A$142,$B39&amp;"*",Evaluation!$A$2:$A$142,"&lt;&gt;*X*")</f>
        <v>1</v>
      </c>
      <c r="E39" s="77">
        <f>SUMIFS(Evaluation!$H$2:$H$142,Evaluation!$A$2:$A$142,$B39&amp;"*",Evaluation!$A$2:$A$142,"&lt;&gt;*X*")</f>
        <v>1</v>
      </c>
      <c r="F39" s="77">
        <f>SUMIFS(Evaluation!$I$2:$I$142,Evaluation!$A$2:$A$142,$B39&amp;"*",Evaluation!$A$2:$A$142,"&lt;&gt;*X*")</f>
        <v>1</v>
      </c>
      <c r="G39" s="141"/>
      <c r="H39" s="148"/>
      <c r="I39" s="148"/>
      <c r="J39" s="148"/>
      <c r="K39" s="151"/>
      <c r="L39" s="124"/>
      <c r="M39" s="118"/>
      <c r="N39" s="161"/>
    </row>
    <row r="40" spans="1:17" x14ac:dyDescent="0.2">
      <c r="A40" s="139"/>
      <c r="B40" s="76" t="s">
        <v>580</v>
      </c>
      <c r="C40" s="77">
        <f>SUMIFS(Evaluation!$F$2:$F$142,Evaluation!$A$2:$A$142,$B40&amp;"*",Evaluation!$A$2:$A$142,"&lt;&gt;*X*")</f>
        <v>0</v>
      </c>
      <c r="D40" s="77">
        <f>SUMIFS(Evaluation!$G$2:$G$142,Evaluation!$A$2:$A$142,$B40&amp;"*",Evaluation!$A$2:$A$142,"&lt;&gt;*X*")</f>
        <v>0</v>
      </c>
      <c r="E40" s="77">
        <f>SUMIFS(Evaluation!$H$2:$H$142,Evaluation!$A$2:$A$142,$B40&amp;"*",Evaluation!$A$2:$A$142,"&lt;&gt;*X*")</f>
        <v>0</v>
      </c>
      <c r="F40" s="77">
        <f>SUMIFS(Evaluation!$I$2:$I$142,Evaluation!$A$2:$A$142,$B40&amp;"*",Evaluation!$A$2:$A$142,"&lt;&gt;*X*")</f>
        <v>0</v>
      </c>
      <c r="G40" s="141"/>
      <c r="H40" s="148"/>
      <c r="I40" s="148"/>
      <c r="J40" s="148"/>
      <c r="K40" s="151"/>
      <c r="L40" s="124"/>
      <c r="M40" s="118"/>
      <c r="N40" s="161"/>
    </row>
    <row r="41" spans="1:17" x14ac:dyDescent="0.2">
      <c r="A41" s="139"/>
      <c r="B41" s="76" t="s">
        <v>581</v>
      </c>
      <c r="C41" s="77">
        <f>SUMIFS(Evaluation!$F$2:$F$142,Evaluation!$A$2:$A$142,$B41&amp;"*",Evaluation!$A$2:$A$142,"&lt;&gt;*X*")</f>
        <v>1</v>
      </c>
      <c r="D41" s="77">
        <f>SUMIFS(Evaluation!$G$2:$G$142,Evaluation!$A$2:$A$142,$B41&amp;"*",Evaluation!$A$2:$A$142,"&lt;&gt;*X*")</f>
        <v>1</v>
      </c>
      <c r="E41" s="77">
        <f>SUMIFS(Evaluation!$H$2:$H$142,Evaluation!$A$2:$A$142,$B41&amp;"*",Evaluation!$A$2:$A$142,"&lt;&gt;*X*")</f>
        <v>1</v>
      </c>
      <c r="F41" s="77">
        <f>SUMIFS(Evaluation!$I$2:$I$142,Evaluation!$A$2:$A$142,$B41&amp;"*",Evaluation!$A$2:$A$142,"&lt;&gt;*X*")</f>
        <v>1</v>
      </c>
      <c r="G41" s="141"/>
      <c r="H41" s="148"/>
      <c r="I41" s="148"/>
      <c r="J41" s="148"/>
      <c r="K41" s="151"/>
      <c r="L41" s="124"/>
      <c r="M41" s="118"/>
      <c r="N41" s="161"/>
    </row>
    <row r="42" spans="1:17" ht="13.5" thickBot="1" x14ac:dyDescent="0.25">
      <c r="A42" s="145"/>
      <c r="B42" s="81" t="s">
        <v>187</v>
      </c>
      <c r="C42" s="82">
        <f>SUMIFS(Evaluation!$F$2:$F$142,Evaluation!$A$2:$A$142,$B42&amp;"*",Evaluation!$A$2:$A$142,"&lt;&gt;*X*")</f>
        <v>2</v>
      </c>
      <c r="D42" s="82">
        <f>SUMIFS(Evaluation!$G$2:$G$142,Evaluation!$A$2:$A$142,$B42&amp;"*",Evaluation!$A$2:$A$142,"&lt;&gt;*X*")</f>
        <v>0</v>
      </c>
      <c r="E42" s="82">
        <f>SUMIFS(Evaluation!$H$2:$H$142,Evaluation!$A$2:$A$142,$B42&amp;"*",Evaluation!$A$2:$A$142,"&lt;&gt;*X*")</f>
        <v>0</v>
      </c>
      <c r="F42" s="82">
        <f>SUMIFS(Evaluation!$I$2:$I$142,Evaluation!$A$2:$A$142,$B42&amp;"*",Evaluation!$A$2:$A$142,"&lt;&gt;*X*")</f>
        <v>0</v>
      </c>
      <c r="G42" s="146"/>
      <c r="H42" s="149"/>
      <c r="I42" s="149"/>
      <c r="J42" s="149"/>
      <c r="K42" s="152"/>
      <c r="L42" s="125"/>
      <c r="M42" s="119"/>
      <c r="N42" s="162"/>
    </row>
    <row r="43" spans="1:17" x14ac:dyDescent="0.2">
      <c r="A43" s="126" t="s">
        <v>218</v>
      </c>
      <c r="B43" s="83" t="s">
        <v>537</v>
      </c>
      <c r="C43" s="84">
        <f>SUMIFS(Evaluation!$F$2:$F$142,Evaluation!$A$2:$A$142,$B43&amp;"*",Evaluation!$A$2:$A$142,"&lt;&gt;*X*")</f>
        <v>3</v>
      </c>
      <c r="D43" s="84">
        <f>SUMIFS(Evaluation!$G$2:$G$142,Evaluation!$A$2:$A$142,$B43&amp;"*",Evaluation!$A$2:$A$142,"&lt;&gt;*X*")</f>
        <v>2</v>
      </c>
      <c r="E43" s="84">
        <f>SUMIFS(Evaluation!$H$2:$H$142,Evaluation!$A$2:$A$142,$B43&amp;"*",Evaluation!$A$2:$A$142,"&lt;&gt;*X*")</f>
        <v>2</v>
      </c>
      <c r="F43" s="84">
        <f>SUMIFS(Evaluation!$I$2:$I$142,Evaluation!$A$2:$A$142,$B43&amp;"*",Evaluation!$A$2:$A$142,"&lt;&gt;*X*")</f>
        <v>2</v>
      </c>
      <c r="G43" s="129">
        <f>SUM(C43:C47)</f>
        <v>14</v>
      </c>
      <c r="H43" s="132">
        <f t="shared" ref="H43" si="14">SUM(D43:D47)</f>
        <v>10</v>
      </c>
      <c r="I43" s="132">
        <f t="shared" ref="I43" si="15">SUM(E43:E47)</f>
        <v>11</v>
      </c>
      <c r="J43" s="132">
        <f t="shared" ref="J43" si="16">SUM(F43:F47)</f>
        <v>9</v>
      </c>
      <c r="K43" s="135">
        <f>Q10/G43</f>
        <v>7.4999999999999997E-3</v>
      </c>
      <c r="L43" s="120">
        <f>H43*K43</f>
        <v>7.4999999999999997E-2</v>
      </c>
      <c r="M43" s="114">
        <f>I43*K43</f>
        <v>8.249999999999999E-2</v>
      </c>
      <c r="N43" s="163">
        <f>J43*K43</f>
        <v>6.7500000000000004E-2</v>
      </c>
    </row>
    <row r="44" spans="1:17" x14ac:dyDescent="0.2">
      <c r="A44" s="127"/>
      <c r="B44" s="85" t="s">
        <v>538</v>
      </c>
      <c r="C44" s="86">
        <f>SUMIFS(Evaluation!$F$2:$F$142,Evaluation!$A$2:$A$142,$B44&amp;"*",Evaluation!$A$2:$A$142,"&lt;&gt;*X*")</f>
        <v>3</v>
      </c>
      <c r="D44" s="86">
        <f>SUMIFS(Evaluation!$G$2:$G$142,Evaluation!$A$2:$A$142,$B44&amp;"*",Evaluation!$A$2:$A$142,"&lt;&gt;*X*")</f>
        <v>3</v>
      </c>
      <c r="E44" s="86">
        <f>SUMIFS(Evaluation!$H$2:$H$142,Evaluation!$A$2:$A$142,$B44&amp;"*",Evaluation!$A$2:$A$142,"&lt;&gt;*X*")</f>
        <v>3</v>
      </c>
      <c r="F44" s="86">
        <f>SUMIFS(Evaluation!$I$2:$I$142,Evaluation!$A$2:$A$142,$B44&amp;"*",Evaluation!$A$2:$A$142,"&lt;&gt;*X*")</f>
        <v>3</v>
      </c>
      <c r="G44" s="130"/>
      <c r="H44" s="133"/>
      <c r="I44" s="133"/>
      <c r="J44" s="133"/>
      <c r="K44" s="136"/>
      <c r="L44" s="121"/>
      <c r="M44" s="115"/>
      <c r="N44" s="164"/>
    </row>
    <row r="45" spans="1:17" x14ac:dyDescent="0.2">
      <c r="A45" s="127"/>
      <c r="B45" s="85" t="s">
        <v>540</v>
      </c>
      <c r="C45" s="86">
        <f>SUMIFS(Evaluation!$F$2:$F$142,Evaluation!$A$2:$A$142,$B45&amp;"*",Evaluation!$A$2:$A$142,"&lt;&gt;*X*")</f>
        <v>2</v>
      </c>
      <c r="D45" s="86">
        <f>SUMIFS(Evaluation!$G$2:$G$142,Evaluation!$A$2:$A$142,$B45&amp;"*",Evaluation!$A$2:$A$142,"&lt;&gt;*X*")</f>
        <v>2</v>
      </c>
      <c r="E45" s="86">
        <f>SUMIFS(Evaluation!$H$2:$H$142,Evaluation!$A$2:$A$142,$B45&amp;"*",Evaluation!$A$2:$A$142,"&lt;&gt;*X*")</f>
        <v>2</v>
      </c>
      <c r="F45" s="86">
        <f>SUMIFS(Evaluation!$I$2:$I$142,Evaluation!$A$2:$A$142,$B45&amp;"*",Evaluation!$A$2:$A$142,"&lt;&gt;*X*")</f>
        <v>0</v>
      </c>
      <c r="G45" s="130"/>
      <c r="H45" s="133"/>
      <c r="I45" s="133"/>
      <c r="J45" s="133"/>
      <c r="K45" s="136"/>
      <c r="L45" s="121"/>
      <c r="M45" s="115"/>
      <c r="N45" s="164"/>
    </row>
    <row r="46" spans="1:17" x14ac:dyDescent="0.2">
      <c r="A46" s="127"/>
      <c r="B46" s="85" t="s">
        <v>541</v>
      </c>
      <c r="C46" s="86">
        <f>SUMIFS(Evaluation!$F$2:$F$142,Evaluation!$A$2:$A$142,$B46&amp;"*",Evaluation!$A$2:$A$142,"&lt;&gt;*X*")</f>
        <v>4</v>
      </c>
      <c r="D46" s="86">
        <f>SUMIFS(Evaluation!$G$2:$G$142,Evaluation!$A$2:$A$142,$B46&amp;"*",Evaluation!$A$2:$A$142,"&lt;&gt;*X*")</f>
        <v>2</v>
      </c>
      <c r="E46" s="86">
        <f>SUMIFS(Evaluation!$H$2:$H$142,Evaluation!$A$2:$A$142,$B46&amp;"*",Evaluation!$A$2:$A$142,"&lt;&gt;*X*")</f>
        <v>3</v>
      </c>
      <c r="F46" s="86">
        <f>SUMIFS(Evaluation!$I$2:$I$142,Evaluation!$A$2:$A$142,$B46&amp;"*",Evaluation!$A$2:$A$142,"&lt;&gt;*X*")</f>
        <v>2</v>
      </c>
      <c r="G46" s="130"/>
      <c r="H46" s="133"/>
      <c r="I46" s="133"/>
      <c r="J46" s="133"/>
      <c r="K46" s="136"/>
      <c r="L46" s="121"/>
      <c r="M46" s="115"/>
      <c r="N46" s="164"/>
    </row>
    <row r="47" spans="1:17" ht="13.5" thickBot="1" x14ac:dyDescent="0.25">
      <c r="A47" s="128"/>
      <c r="B47" s="98" t="s">
        <v>543</v>
      </c>
      <c r="C47" s="99">
        <f>SUMIFS(Evaluation!$F$2:$F$142,Evaluation!$A$2:$A$142,$B47&amp;"*",Evaluation!$A$2:$A$142,"&lt;&gt;*X*")</f>
        <v>2</v>
      </c>
      <c r="D47" s="99">
        <f>SUMIFS(Evaluation!$G$2:$G$142,Evaluation!$A$2:$A$142,$B47&amp;"*",Evaluation!$A$2:$A$142,"&lt;&gt;*X*")</f>
        <v>1</v>
      </c>
      <c r="E47" s="99">
        <f>SUMIFS(Evaluation!$H$2:$H$142,Evaluation!$A$2:$A$142,$B47&amp;"*",Evaluation!$A$2:$A$142,"&lt;&gt;*X*")</f>
        <v>1</v>
      </c>
      <c r="F47" s="99">
        <f>SUMIFS(Evaluation!$I$2:$I$142,Evaluation!$A$2:$A$142,$B47&amp;"*",Evaluation!$A$2:$A$142,"&lt;&gt;*X*")</f>
        <v>2</v>
      </c>
      <c r="G47" s="131"/>
      <c r="H47" s="134"/>
      <c r="I47" s="134"/>
      <c r="J47" s="134"/>
      <c r="K47" s="137"/>
      <c r="L47" s="122"/>
      <c r="M47" s="116"/>
      <c r="N47" s="165"/>
    </row>
    <row r="48" spans="1:17" x14ac:dyDescent="0.2">
      <c r="A48" s="138" t="s">
        <v>219</v>
      </c>
      <c r="B48" s="71" t="s">
        <v>65</v>
      </c>
      <c r="C48" s="72">
        <f>SUMIFS(Evaluation!$F$2:$F$142,Evaluation!$A$2:$A$142,$B48&amp;"*",Evaluation!$A$2:$A$142,"&lt;&gt;*X*")</f>
        <v>0</v>
      </c>
      <c r="D48" s="72">
        <f>SUMIFS(Evaluation!$G$2:$G$142,Evaluation!$A$2:$A$142,$B48&amp;"*",Evaluation!$A$2:$A$142,"&lt;&gt;*X*")</f>
        <v>0</v>
      </c>
      <c r="E48" s="72">
        <f>SUMIFS(Evaluation!$H$2:$H$142,Evaluation!$A$2:$A$142,$B48&amp;"*",Evaluation!$A$2:$A$142,"&lt;&gt;*X*")</f>
        <v>0</v>
      </c>
      <c r="F48" s="72">
        <f>SUMIFS(Evaluation!$I$2:$I$142,Evaluation!$A$2:$A$142,$B48&amp;"*",Evaluation!$A$2:$A$142,"&lt;&gt;*X*")</f>
        <v>2</v>
      </c>
      <c r="G48" s="140">
        <f>SUM(C48:C52)</f>
        <v>6</v>
      </c>
      <c r="H48" s="142">
        <f t="shared" ref="H48" si="17">SUM(D48:D52)</f>
        <v>3</v>
      </c>
      <c r="I48" s="142">
        <f t="shared" ref="I48" si="18">SUM(E48:E52)</f>
        <v>3</v>
      </c>
      <c r="J48" s="142">
        <f t="shared" ref="J48" si="19">SUM(F48:F52)</f>
        <v>10</v>
      </c>
      <c r="K48" s="144">
        <f>Q11/G48</f>
        <v>6.6666666666666671E-3</v>
      </c>
      <c r="L48" s="123">
        <f>H48*K48</f>
        <v>0.02</v>
      </c>
      <c r="M48" s="117">
        <f>I48*K48</f>
        <v>0.02</v>
      </c>
      <c r="N48" s="160">
        <f>J48*K48</f>
        <v>6.6666666666666666E-2</v>
      </c>
      <c r="O48" s="101"/>
    </row>
    <row r="49" spans="1:16" x14ac:dyDescent="0.2">
      <c r="A49" s="139"/>
      <c r="B49" s="102" t="s">
        <v>66</v>
      </c>
      <c r="C49" s="103">
        <f>SUMIFS(Evaluation!$F$2:$F$142,Evaluation!$A$2:$A$142,$B49&amp;"*",Evaluation!$A$2:$A$142,"&lt;&gt;*X*")</f>
        <v>0</v>
      </c>
      <c r="D49" s="103">
        <f>SUMIFS(Evaluation!$G$2:$G$142,Evaluation!$A$2:$A$142,$B49&amp;"*",Evaluation!$A$2:$A$142,"&lt;&gt;*X*")</f>
        <v>0</v>
      </c>
      <c r="E49" s="103">
        <f>SUMIFS(Evaluation!$H$2:$H$142,Evaluation!$A$2:$A$142,$B49&amp;"*",Evaluation!$A$2:$A$142,"&lt;&gt;*X*")</f>
        <v>0</v>
      </c>
      <c r="F49" s="103">
        <f>SUMIFS(Evaluation!$I$2:$I$142,Evaluation!$A$2:$A$142,$B49&amp;"*",Evaluation!$A$2:$A$142,"&lt;&gt;*X*")</f>
        <v>3</v>
      </c>
      <c r="G49" s="141"/>
      <c r="H49" s="143"/>
      <c r="I49" s="143"/>
      <c r="J49" s="143"/>
      <c r="K49" s="144"/>
      <c r="L49" s="124"/>
      <c r="M49" s="118"/>
      <c r="N49" s="161"/>
      <c r="P49" s="101"/>
    </row>
    <row r="50" spans="1:16" x14ac:dyDescent="0.2">
      <c r="A50" s="139"/>
      <c r="B50" s="76" t="s">
        <v>67</v>
      </c>
      <c r="C50" s="77">
        <f>SUMIFS(Evaluation!$F$2:$F$142,Evaluation!$A$2:$A$142,$B50&amp;"*",Evaluation!$A$2:$A$142,"&lt;&gt;*X*")</f>
        <v>5</v>
      </c>
      <c r="D50" s="77">
        <f>SUMIFS(Evaluation!$G$2:$G$142,Evaluation!$A$2:$A$142,$B50&amp;"*",Evaluation!$A$2:$A$142,"&lt;&gt;*X*")</f>
        <v>2</v>
      </c>
      <c r="E50" s="77">
        <f>SUMIFS(Evaluation!$H$2:$H$142,Evaluation!$A$2:$A$142,$B50&amp;"*",Evaluation!$A$2:$A$142,"&lt;&gt;*X*")</f>
        <v>2</v>
      </c>
      <c r="F50" s="77">
        <f>SUMIFS(Evaluation!$I$2:$I$142,Evaluation!$A$2:$A$142,$B50&amp;"*",Evaluation!$A$2:$A$142,"&lt;&gt;*X*")</f>
        <v>3</v>
      </c>
      <c r="G50" s="141"/>
      <c r="H50" s="143"/>
      <c r="I50" s="143"/>
      <c r="J50" s="143"/>
      <c r="K50" s="144"/>
      <c r="L50" s="124"/>
      <c r="M50" s="118"/>
      <c r="N50" s="161"/>
      <c r="O50" s="101"/>
    </row>
    <row r="51" spans="1:16" x14ac:dyDescent="0.2">
      <c r="A51" s="139"/>
      <c r="B51" s="76" t="s">
        <v>68</v>
      </c>
      <c r="C51" s="77">
        <f>SUMIFS(Evaluation!$F$2:$F$142,Evaluation!$A$2:$A$142,$B51&amp;"*",Evaluation!$A$2:$A$142,"&lt;&gt;*X*")</f>
        <v>1</v>
      </c>
      <c r="D51" s="77">
        <f>SUMIFS(Evaluation!$G$2:$G$142,Evaluation!$A$2:$A$142,$B51&amp;"*",Evaluation!$A$2:$A$142,"&lt;&gt;*X*")</f>
        <v>1</v>
      </c>
      <c r="E51" s="77">
        <f>SUMIFS(Evaluation!$H$2:$H$142,Evaluation!$A$2:$A$142,$B51&amp;"*",Evaluation!$A$2:$A$142,"&lt;&gt;*X*")</f>
        <v>1</v>
      </c>
      <c r="F51" s="77">
        <f>SUMIFS(Evaluation!$I$2:$I$142,Evaluation!$A$2:$A$142,$B51&amp;"*",Evaluation!$A$2:$A$142,"&lt;&gt;*X*")</f>
        <v>1</v>
      </c>
      <c r="G51" s="141"/>
      <c r="H51" s="143"/>
      <c r="I51" s="143"/>
      <c r="J51" s="143"/>
      <c r="K51" s="144"/>
      <c r="L51" s="124"/>
      <c r="M51" s="118"/>
      <c r="N51" s="161"/>
      <c r="P51" s="101"/>
    </row>
    <row r="52" spans="1:16" ht="13.5" thickBot="1" x14ac:dyDescent="0.25">
      <c r="A52" s="139"/>
      <c r="B52" s="102" t="s">
        <v>69</v>
      </c>
      <c r="C52" s="103">
        <f>SUMIFS(Evaluation!$F$2:$F$142,Evaluation!$A$2:$A$142,$B52&amp;"*",Evaluation!$A$2:$A$142,"&lt;&gt;*X*")</f>
        <v>0</v>
      </c>
      <c r="D52" s="103">
        <f>SUMIFS(Evaluation!$G$2:$G$142,Evaluation!$A$2:$A$142,$B52&amp;"*",Evaluation!$A$2:$A$142,"&lt;&gt;*X*")</f>
        <v>0</v>
      </c>
      <c r="E52" s="103">
        <f>SUMIFS(Evaluation!$H$2:$H$142,Evaluation!$A$2:$A$142,$B52&amp;"*",Evaluation!$A$2:$A$142,"&lt;&gt;*X*")</f>
        <v>0</v>
      </c>
      <c r="F52" s="103">
        <f>SUMIFS(Evaluation!$I$2:$I$142,Evaluation!$A$2:$A$142,$B52&amp;"*",Evaluation!$A$2:$A$142,"&lt;&gt;*X*")</f>
        <v>1</v>
      </c>
      <c r="G52" s="141"/>
      <c r="H52" s="143"/>
      <c r="I52" s="143"/>
      <c r="J52" s="143"/>
      <c r="K52" s="144"/>
      <c r="L52" s="125"/>
      <c r="M52" s="119"/>
      <c r="N52" s="162"/>
    </row>
    <row r="53" spans="1:16" x14ac:dyDescent="0.2">
      <c r="A53" s="126" t="s">
        <v>220</v>
      </c>
      <c r="B53" s="83" t="s">
        <v>40</v>
      </c>
      <c r="C53" s="84">
        <f>SUMIFS(Evaluation!$F$2:$F$142,Evaluation!$A$2:$A$142,$B53&amp;"*")</f>
        <v>1</v>
      </c>
      <c r="D53" s="84">
        <f>SUMIFS(Evaluation!$G$2:$G$142,Evaluation!$A$2:$A$142,$B53&amp;"*")</f>
        <v>0</v>
      </c>
      <c r="E53" s="84">
        <f>SUMIFS(Evaluation!$H$2:$H$142,Evaluation!$A$2:$A$142,$B53&amp;"*")</f>
        <v>0</v>
      </c>
      <c r="F53" s="84">
        <f>SUMIFS(Evaluation!$I$2:$I$142,Evaluation!$A$2:$A$142,$B53&amp;"*")</f>
        <v>1</v>
      </c>
      <c r="G53" s="129">
        <f>SUM(C53:C69)</f>
        <v>10</v>
      </c>
      <c r="H53" s="132">
        <f>SUM(D53:D69)</f>
        <v>1</v>
      </c>
      <c r="I53" s="132">
        <f>SUM(E53:E69)</f>
        <v>1</v>
      </c>
      <c r="J53" s="132">
        <f>SUM(F53:F69)</f>
        <v>14</v>
      </c>
      <c r="K53" s="135">
        <f>0.01</f>
        <v>0.01</v>
      </c>
      <c r="L53" s="120">
        <f>H53*K53</f>
        <v>0.01</v>
      </c>
      <c r="M53" s="114">
        <f>I53*K53</f>
        <v>0.01</v>
      </c>
      <c r="N53" s="163">
        <f>J53*K53</f>
        <v>0.14000000000000001</v>
      </c>
    </row>
    <row r="54" spans="1:16" x14ac:dyDescent="0.2">
      <c r="A54" s="127"/>
      <c r="B54" s="85" t="s">
        <v>49</v>
      </c>
      <c r="C54" s="86">
        <f>SUMIFS(Evaluation!$F$2:$F$142,Evaluation!$A$2:$A$142,$B54&amp;"*")</f>
        <v>0</v>
      </c>
      <c r="D54" s="86">
        <f>SUMIFS(Evaluation!$G$2:$G$142,Evaluation!$A$2:$A$142,$B54&amp;"*")</f>
        <v>0</v>
      </c>
      <c r="E54" s="86">
        <f>SUMIFS(Evaluation!$H$2:$H$142,Evaluation!$A$2:$A$142,$B54&amp;"*")</f>
        <v>0</v>
      </c>
      <c r="F54" s="86">
        <f>SUMIFS(Evaluation!$I$2:$I$142,Evaluation!$A$2:$A$142,$B54&amp;"*")</f>
        <v>1</v>
      </c>
      <c r="G54" s="130"/>
      <c r="H54" s="133"/>
      <c r="I54" s="133"/>
      <c r="J54" s="133"/>
      <c r="K54" s="136"/>
      <c r="L54" s="121"/>
      <c r="M54" s="115"/>
      <c r="N54" s="164"/>
    </row>
    <row r="55" spans="1:16" x14ac:dyDescent="0.2">
      <c r="A55" s="127"/>
      <c r="B55" s="85" t="s">
        <v>249</v>
      </c>
      <c r="C55" s="86">
        <f>SUMIFS(Evaluation!$F$2:$F$142,Evaluation!$A$2:$A$142,$B55&amp;"*")</f>
        <v>1</v>
      </c>
      <c r="D55" s="86">
        <f>SUMIFS(Evaluation!$G$2:$G$142,Evaluation!$A$2:$A$142,$B55&amp;"*")</f>
        <v>0</v>
      </c>
      <c r="E55" s="86">
        <f>SUMIFS(Evaluation!$H$2:$H$142,Evaluation!$A$2:$A$142,$B55&amp;"*")</f>
        <v>0</v>
      </c>
      <c r="F55" s="86">
        <f>SUMIFS(Evaluation!$I$2:$I$142,Evaluation!$A$2:$A$142,$B55&amp;"*")</f>
        <v>1</v>
      </c>
      <c r="G55" s="130"/>
      <c r="H55" s="133"/>
      <c r="I55" s="133"/>
      <c r="J55" s="133"/>
      <c r="K55" s="136"/>
      <c r="L55" s="121"/>
      <c r="M55" s="115"/>
      <c r="N55" s="164"/>
    </row>
    <row r="56" spans="1:16" x14ac:dyDescent="0.2">
      <c r="A56" s="127"/>
      <c r="B56" s="85" t="s">
        <v>51</v>
      </c>
      <c r="C56" s="86">
        <f>SUMIFS(Evaluation!$F$2:$F$142,Evaluation!$A$2:$A$142,$B56&amp;"*")</f>
        <v>0</v>
      </c>
      <c r="D56" s="86">
        <f>SUMIFS(Evaluation!$G$2:$G$142,Evaluation!$A$2:$A$142,$B56&amp;"*")</f>
        <v>0</v>
      </c>
      <c r="E56" s="86">
        <f>SUMIFS(Evaluation!$H$2:$H$142,Evaluation!$A$2:$A$142,$B56&amp;"*")</f>
        <v>0</v>
      </c>
      <c r="F56" s="86">
        <f>SUMIFS(Evaluation!$I$2:$I$142,Evaluation!$A$2:$A$142,$B56&amp;"*")</f>
        <v>0</v>
      </c>
      <c r="G56" s="130"/>
      <c r="H56" s="133"/>
      <c r="I56" s="133"/>
      <c r="J56" s="133"/>
      <c r="K56" s="136"/>
      <c r="L56" s="121"/>
      <c r="M56" s="115"/>
      <c r="N56" s="164"/>
    </row>
    <row r="57" spans="1:16" x14ac:dyDescent="0.2">
      <c r="A57" s="127"/>
      <c r="B57" s="85" t="s">
        <v>260</v>
      </c>
      <c r="C57" s="86">
        <f>SUMIFS(Evaluation!$F$2:$F$142,Evaluation!$A$2:$A$142,$B57&amp;"*")</f>
        <v>0</v>
      </c>
      <c r="D57" s="86">
        <f>SUMIFS(Evaluation!$G$2:$G$142,Evaluation!$A$2:$A$142,$B57&amp;"*")</f>
        <v>0</v>
      </c>
      <c r="E57" s="86">
        <f>SUMIFS(Evaluation!$H$2:$H$142,Evaluation!$A$2:$A$142,$B57&amp;"*")</f>
        <v>0</v>
      </c>
      <c r="F57" s="86">
        <f>SUMIFS(Evaluation!$I$2:$I$142,Evaluation!$A$2:$A$142,$B57&amp;"*")</f>
        <v>1</v>
      </c>
      <c r="G57" s="130"/>
      <c r="H57" s="133"/>
      <c r="I57" s="133"/>
      <c r="J57" s="133"/>
      <c r="K57" s="136"/>
      <c r="L57" s="121"/>
      <c r="M57" s="115"/>
      <c r="N57" s="164"/>
    </row>
    <row r="58" spans="1:16" x14ac:dyDescent="0.2">
      <c r="A58" s="127"/>
      <c r="B58" s="85" t="s">
        <v>582</v>
      </c>
      <c r="C58" s="86">
        <f>SUMIFS(Evaluation!$F$2:$F$142,Evaluation!$A$2:$A$142,$B58&amp;"*")</f>
        <v>1</v>
      </c>
      <c r="D58" s="86">
        <f>SUMIFS(Evaluation!$G$2:$G$142,Evaluation!$A$2:$A$142,$B58&amp;"*")</f>
        <v>0</v>
      </c>
      <c r="E58" s="86">
        <f>SUMIFS(Evaluation!$H$2:$H$142,Evaluation!$A$2:$A$142,$B58&amp;"*")</f>
        <v>0</v>
      </c>
      <c r="F58" s="86">
        <f>SUMIFS(Evaluation!$I$2:$I$142,Evaluation!$A$2:$A$142,$B58&amp;"*")</f>
        <v>1</v>
      </c>
      <c r="G58" s="130"/>
      <c r="H58" s="133"/>
      <c r="I58" s="133"/>
      <c r="J58" s="133"/>
      <c r="K58" s="136"/>
      <c r="L58" s="121"/>
      <c r="M58" s="115"/>
      <c r="N58" s="164"/>
    </row>
    <row r="59" spans="1:16" x14ac:dyDescent="0.2">
      <c r="A59" s="127"/>
      <c r="B59" s="85" t="s">
        <v>55</v>
      </c>
      <c r="C59" s="86">
        <f>SUMIFS(Evaluation!$F$2:$F$142,Evaluation!$A$2:$A$142,$B59&amp;"*")</f>
        <v>0</v>
      </c>
      <c r="D59" s="86">
        <f>SUMIFS(Evaluation!$G$2:$G$142,Evaluation!$A$2:$A$142,$B59&amp;"*")</f>
        <v>0</v>
      </c>
      <c r="E59" s="86">
        <f>SUMIFS(Evaluation!$H$2:$H$142,Evaluation!$A$2:$A$142,$B59&amp;"*")</f>
        <v>0</v>
      </c>
      <c r="F59" s="86">
        <f>SUMIFS(Evaluation!$I$2:$I$142,Evaluation!$A$2:$A$142,$B59&amp;"*")</f>
        <v>0</v>
      </c>
      <c r="G59" s="130"/>
      <c r="H59" s="133"/>
      <c r="I59" s="133"/>
      <c r="J59" s="133"/>
      <c r="K59" s="136"/>
      <c r="L59" s="121"/>
      <c r="M59" s="115"/>
      <c r="N59" s="164"/>
    </row>
    <row r="60" spans="1:16" x14ac:dyDescent="0.2">
      <c r="A60" s="127"/>
      <c r="B60" s="85" t="s">
        <v>235</v>
      </c>
      <c r="C60" s="86">
        <f>SUMIFS(Evaluation!$F$2:$F$142,Evaluation!$A$2:$A$142,$B60&amp;"*")</f>
        <v>0</v>
      </c>
      <c r="D60" s="86">
        <f>SUMIFS(Evaluation!$G$2:$G$142,Evaluation!$A$2:$A$142,$B60&amp;"*")</f>
        <v>0</v>
      </c>
      <c r="E60" s="86">
        <f>SUMIFS(Evaluation!$H$2:$H$142,Evaluation!$A$2:$A$142,$B60&amp;"*")</f>
        <v>0</v>
      </c>
      <c r="F60" s="86">
        <f>SUMIFS(Evaluation!$I$2:$I$142,Evaluation!$A$2:$A$142,$B60&amp;"*")</f>
        <v>4</v>
      </c>
      <c r="G60" s="130"/>
      <c r="H60" s="133"/>
      <c r="I60" s="133"/>
      <c r="J60" s="133"/>
      <c r="K60" s="136"/>
      <c r="L60" s="121"/>
      <c r="M60" s="115"/>
      <c r="N60" s="164"/>
    </row>
    <row r="61" spans="1:16" x14ac:dyDescent="0.2">
      <c r="A61" s="127"/>
      <c r="B61" s="85" t="s">
        <v>59</v>
      </c>
      <c r="C61" s="86">
        <f>SUMIFS(Evaluation!$F$2:$F$142,Evaluation!$A$2:$A$142,$B61&amp;"*")</f>
        <v>0</v>
      </c>
      <c r="D61" s="86">
        <f>SUMIFS(Evaluation!$G$2:$G$142,Evaluation!$A$2:$A$142,$B61&amp;"*")</f>
        <v>0</v>
      </c>
      <c r="E61" s="86">
        <f>SUMIFS(Evaluation!$H$2:$H$142,Evaluation!$A$2:$A$142,$B61&amp;"*")</f>
        <v>0</v>
      </c>
      <c r="F61" s="86">
        <f>SUMIFS(Evaluation!$I$2:$I$142,Evaluation!$A$2:$A$142,$B61&amp;"*")</f>
        <v>0</v>
      </c>
      <c r="G61" s="130"/>
      <c r="H61" s="133"/>
      <c r="I61" s="133"/>
      <c r="J61" s="133"/>
      <c r="K61" s="136"/>
      <c r="L61" s="121"/>
      <c r="M61" s="115"/>
      <c r="N61" s="164"/>
    </row>
    <row r="62" spans="1:16" x14ac:dyDescent="0.2">
      <c r="A62" s="127"/>
      <c r="B62" s="85" t="s">
        <v>274</v>
      </c>
      <c r="C62" s="86">
        <f>SUMIFS(Evaluation!$F$2:$F$142,Evaluation!$A$2:$A$142,$B62&amp;"*")</f>
        <v>0</v>
      </c>
      <c r="D62" s="86">
        <f>SUMIFS(Evaluation!$G$2:$G$142,Evaluation!$A$2:$A$142,$B62&amp;"*")</f>
        <v>0</v>
      </c>
      <c r="E62" s="86">
        <f>SUMIFS(Evaluation!$H$2:$H$142,Evaluation!$A$2:$A$142,$B62&amp;"*")</f>
        <v>0</v>
      </c>
      <c r="F62" s="86">
        <f>SUMIFS(Evaluation!$I$2:$I$142,Evaluation!$A$2:$A$142,$B62&amp;"*")</f>
        <v>1</v>
      </c>
      <c r="G62" s="130"/>
      <c r="H62" s="133"/>
      <c r="I62" s="133"/>
      <c r="J62" s="133"/>
      <c r="K62" s="136"/>
      <c r="L62" s="121"/>
      <c r="M62" s="115"/>
      <c r="N62" s="164"/>
    </row>
    <row r="63" spans="1:16" x14ac:dyDescent="0.2">
      <c r="A63" s="127"/>
      <c r="B63" s="85" t="s">
        <v>63</v>
      </c>
      <c r="C63" s="86">
        <f>SUMIFS(Evaluation!$F$2:$F$142,Evaluation!$A$2:$A$142,$B63&amp;"*")</f>
        <v>2</v>
      </c>
      <c r="D63" s="86">
        <f>SUMIFS(Evaluation!$G$2:$G$142,Evaluation!$A$2:$A$142,$B63&amp;"*")</f>
        <v>0</v>
      </c>
      <c r="E63" s="86">
        <f>SUMIFS(Evaluation!$H$2:$H$142,Evaluation!$A$2:$A$142,$B63&amp;"*")</f>
        <v>0</v>
      </c>
      <c r="F63" s="86">
        <f>SUMIFS(Evaluation!$I$2:$I$142,Evaluation!$A$2:$A$142,$B63&amp;"*")</f>
        <v>2</v>
      </c>
      <c r="G63" s="130"/>
      <c r="H63" s="133"/>
      <c r="I63" s="133"/>
      <c r="J63" s="133"/>
      <c r="K63" s="136"/>
      <c r="L63" s="121"/>
      <c r="M63" s="115"/>
      <c r="N63" s="164"/>
    </row>
    <row r="64" spans="1:16" x14ac:dyDescent="0.2">
      <c r="A64" s="127"/>
      <c r="B64" s="85" t="s">
        <v>64</v>
      </c>
      <c r="C64" s="86">
        <f>SUMIFS(Evaluation!$F$2:$F$142,Evaluation!$A$2:$A$142,$B64&amp;"*")</f>
        <v>1</v>
      </c>
      <c r="D64" s="86">
        <f>SUMIFS(Evaluation!$G$2:$G$142,Evaluation!$A$2:$A$142,$B64&amp;"*")</f>
        <v>0</v>
      </c>
      <c r="E64" s="86">
        <f>SUMIFS(Evaluation!$H$2:$H$142,Evaluation!$A$2:$A$142,$B64&amp;"*")</f>
        <v>0</v>
      </c>
      <c r="F64" s="86">
        <f>SUMIFS(Evaluation!$I$2:$I$142,Evaluation!$A$2:$A$142,$B64&amp;"*")</f>
        <v>0</v>
      </c>
      <c r="G64" s="130"/>
      <c r="H64" s="133"/>
      <c r="I64" s="133"/>
      <c r="J64" s="133"/>
      <c r="K64" s="136"/>
      <c r="L64" s="121"/>
      <c r="M64" s="115"/>
      <c r="N64" s="164"/>
    </row>
    <row r="65" spans="1:14" x14ac:dyDescent="0.2">
      <c r="A65" s="127"/>
      <c r="B65" s="85" t="s">
        <v>583</v>
      </c>
      <c r="C65" s="86">
        <f>SUMIFS(Evaluation!$F$2:$F$142,Evaluation!$A$2:$A$142,$B65&amp;"*")</f>
        <v>1</v>
      </c>
      <c r="D65" s="86">
        <f>SUMIFS(Evaluation!$G$2:$G$142,Evaluation!$A$2:$A$142,$B65&amp;"*")</f>
        <v>1</v>
      </c>
      <c r="E65" s="86">
        <f>SUMIFS(Evaluation!$H$2:$H$142,Evaluation!$A$2:$A$142,$B65&amp;"*")</f>
        <v>1</v>
      </c>
      <c r="F65" s="86">
        <f>SUMIFS(Evaluation!$I$2:$I$142,Evaluation!$A$2:$A$142,$B65&amp;"*")</f>
        <v>0</v>
      </c>
      <c r="G65" s="130"/>
      <c r="H65" s="133"/>
      <c r="I65" s="133"/>
      <c r="J65" s="133"/>
      <c r="K65" s="136"/>
      <c r="L65" s="121"/>
      <c r="M65" s="115"/>
      <c r="N65" s="164"/>
    </row>
    <row r="66" spans="1:14" x14ac:dyDescent="0.2">
      <c r="A66" s="127"/>
      <c r="B66" s="85" t="s">
        <v>584</v>
      </c>
      <c r="C66" s="86">
        <f>SUMIFS(Evaluation!$F$2:$F$142,Evaluation!$A$2:$A$142,$B66&amp;"*")</f>
        <v>1</v>
      </c>
      <c r="D66" s="86">
        <f>SUMIFS(Evaluation!$G$2:$G$142,Evaluation!$A$2:$A$142,$B66&amp;"*")</f>
        <v>0</v>
      </c>
      <c r="E66" s="86">
        <f>SUMIFS(Evaluation!$H$2:$H$142,Evaluation!$A$2:$A$142,$B66&amp;"*")</f>
        <v>0</v>
      </c>
      <c r="F66" s="86">
        <f>SUMIFS(Evaluation!$I$2:$I$142,Evaluation!$A$2:$A$142,$B66&amp;"*")</f>
        <v>0</v>
      </c>
      <c r="G66" s="130"/>
      <c r="H66" s="133"/>
      <c r="I66" s="133"/>
      <c r="J66" s="133"/>
      <c r="K66" s="136"/>
      <c r="L66" s="121"/>
      <c r="M66" s="115"/>
      <c r="N66" s="164"/>
    </row>
    <row r="67" spans="1:14" x14ac:dyDescent="0.2">
      <c r="A67" s="127"/>
      <c r="B67" s="85" t="s">
        <v>585</v>
      </c>
      <c r="C67" s="86">
        <f>SUMIFS(Evaluation!$F$2:$F$142,Evaluation!$A$2:$A$142,$B67&amp;"*")</f>
        <v>0</v>
      </c>
      <c r="D67" s="86">
        <f>SUMIFS(Evaluation!$G$2:$G$142,Evaluation!$A$2:$A$142,$B67&amp;"*")</f>
        <v>0</v>
      </c>
      <c r="E67" s="86">
        <f>SUMIFS(Evaluation!$H$2:$H$142,Evaluation!$A$2:$A$142,$B67&amp;"*")</f>
        <v>0</v>
      </c>
      <c r="F67" s="86">
        <f>SUMIFS(Evaluation!$I$2:$I$142,Evaluation!$A$2:$A$142,$B67&amp;"*")</f>
        <v>1</v>
      </c>
      <c r="G67" s="130"/>
      <c r="H67" s="133"/>
      <c r="I67" s="133"/>
      <c r="J67" s="133"/>
      <c r="K67" s="136"/>
      <c r="L67" s="121"/>
      <c r="M67" s="115"/>
      <c r="N67" s="164"/>
    </row>
    <row r="68" spans="1:14" x14ac:dyDescent="0.2">
      <c r="A68" s="127"/>
      <c r="B68" s="85" t="s">
        <v>539</v>
      </c>
      <c r="C68" s="86">
        <f>SUMIFS(Evaluation!$F$2:$F$142,Evaluation!$A$2:$A$142,$B68&amp;"*")</f>
        <v>1</v>
      </c>
      <c r="D68" s="86">
        <f>SUMIFS(Evaluation!$G$2:$G$142,Evaluation!$A$2:$A$142,$B68&amp;"*")</f>
        <v>0</v>
      </c>
      <c r="E68" s="86">
        <f>SUMIFS(Evaluation!$H$2:$H$142,Evaluation!$A$2:$A$142,$B68&amp;"*")</f>
        <v>0</v>
      </c>
      <c r="F68" s="86">
        <f>SUMIFS(Evaluation!$I$2:$I$142,Evaluation!$A$2:$A$142,$B68&amp;"*")</f>
        <v>0</v>
      </c>
      <c r="G68" s="130"/>
      <c r="H68" s="133"/>
      <c r="I68" s="133"/>
      <c r="J68" s="133"/>
      <c r="K68" s="136"/>
      <c r="L68" s="121"/>
      <c r="M68" s="115"/>
      <c r="N68" s="164"/>
    </row>
    <row r="69" spans="1:14" ht="13.5" thickBot="1" x14ac:dyDescent="0.25">
      <c r="A69" s="128"/>
      <c r="B69" s="98" t="s">
        <v>542</v>
      </c>
      <c r="C69" s="99">
        <f>SUMIFS(Evaluation!$F$2:$F$142,Evaluation!$A$2:$A$142,$B69&amp;"*")</f>
        <v>1</v>
      </c>
      <c r="D69" s="99">
        <f>SUMIFS(Evaluation!$G$2:$G$142,Evaluation!$A$2:$A$142,$B69&amp;"*")</f>
        <v>0</v>
      </c>
      <c r="E69" s="99">
        <f>SUMIFS(Evaluation!$H$2:$H$142,Evaluation!$A$2:$A$142,$B69&amp;"*")</f>
        <v>0</v>
      </c>
      <c r="F69" s="99">
        <f>SUMIFS(Evaluation!$I$2:$I$142,Evaluation!$A$2:$A$142,$B69&amp;"*")</f>
        <v>1</v>
      </c>
      <c r="G69" s="131"/>
      <c r="H69" s="134"/>
      <c r="I69" s="134"/>
      <c r="J69" s="134"/>
      <c r="K69" s="137"/>
      <c r="L69" s="122"/>
      <c r="M69" s="116"/>
      <c r="N69" s="165"/>
    </row>
  </sheetData>
  <mergeCells count="90">
    <mergeCell ref="N32:N36"/>
    <mergeCell ref="N37:N42"/>
    <mergeCell ref="N43:N47"/>
    <mergeCell ref="N48:N52"/>
    <mergeCell ref="N53:N69"/>
    <mergeCell ref="N2:N6"/>
    <mergeCell ref="N7:N16"/>
    <mergeCell ref="N17:N24"/>
    <mergeCell ref="N25:N26"/>
    <mergeCell ref="N27:N31"/>
    <mergeCell ref="M2:M6"/>
    <mergeCell ref="A7:A16"/>
    <mergeCell ref="G7:G16"/>
    <mergeCell ref="H7:H16"/>
    <mergeCell ref="J7:J16"/>
    <mergeCell ref="K7:K16"/>
    <mergeCell ref="L7:L16"/>
    <mergeCell ref="M7:M16"/>
    <mergeCell ref="A2:A6"/>
    <mergeCell ref="G2:G6"/>
    <mergeCell ref="H2:H6"/>
    <mergeCell ref="J2:J6"/>
    <mergeCell ref="K2:K6"/>
    <mergeCell ref="L2:L6"/>
    <mergeCell ref="I2:I6"/>
    <mergeCell ref="I7:I16"/>
    <mergeCell ref="M17:M24"/>
    <mergeCell ref="A25:A26"/>
    <mergeCell ref="G25:G26"/>
    <mergeCell ref="H25:H26"/>
    <mergeCell ref="J25:J26"/>
    <mergeCell ref="K25:K26"/>
    <mergeCell ref="L25:L26"/>
    <mergeCell ref="M25:M26"/>
    <mergeCell ref="A17:A24"/>
    <mergeCell ref="G17:G24"/>
    <mergeCell ref="H17:H24"/>
    <mergeCell ref="J17:J24"/>
    <mergeCell ref="K17:K24"/>
    <mergeCell ref="L17:L24"/>
    <mergeCell ref="I17:I24"/>
    <mergeCell ref="I25:I26"/>
    <mergeCell ref="M27:M31"/>
    <mergeCell ref="A32:A36"/>
    <mergeCell ref="G32:G36"/>
    <mergeCell ref="H32:H36"/>
    <mergeCell ref="J32:J36"/>
    <mergeCell ref="K32:K36"/>
    <mergeCell ref="L32:L36"/>
    <mergeCell ref="M32:M36"/>
    <mergeCell ref="A27:A31"/>
    <mergeCell ref="G27:G31"/>
    <mergeCell ref="H27:H31"/>
    <mergeCell ref="J27:J31"/>
    <mergeCell ref="K27:K31"/>
    <mergeCell ref="L27:L31"/>
    <mergeCell ref="I27:I31"/>
    <mergeCell ref="I32:I36"/>
    <mergeCell ref="M37:M42"/>
    <mergeCell ref="A43:A47"/>
    <mergeCell ref="G43:G47"/>
    <mergeCell ref="H43:H47"/>
    <mergeCell ref="J43:J47"/>
    <mergeCell ref="K43:K47"/>
    <mergeCell ref="L43:L47"/>
    <mergeCell ref="M43:M47"/>
    <mergeCell ref="A37:A42"/>
    <mergeCell ref="G37:G42"/>
    <mergeCell ref="H37:H42"/>
    <mergeCell ref="J37:J42"/>
    <mergeCell ref="K37:K42"/>
    <mergeCell ref="L37:L42"/>
    <mergeCell ref="I37:I42"/>
    <mergeCell ref="I43:I47"/>
    <mergeCell ref="M53:M69"/>
    <mergeCell ref="M48:M52"/>
    <mergeCell ref="L53:L69"/>
    <mergeCell ref="L48:L52"/>
    <mergeCell ref="A53:A69"/>
    <mergeCell ref="G53:G69"/>
    <mergeCell ref="H53:H69"/>
    <mergeCell ref="J53:J69"/>
    <mergeCell ref="K53:K69"/>
    <mergeCell ref="I53:I69"/>
    <mergeCell ref="A48:A52"/>
    <mergeCell ref="G48:G52"/>
    <mergeCell ref="H48:H52"/>
    <mergeCell ref="J48:J52"/>
    <mergeCell ref="K48:K52"/>
    <mergeCell ref="I48:I52"/>
  </mergeCells>
  <conditionalFormatting sqref="R14:T14">
    <cfRule type="colorScale" priority="1">
      <colorScale>
        <cfvo type="num" val="0.3"/>
        <cfvo type="num" val="0.55000000000000004"/>
        <cfvo type="num" val="0.85"/>
        <color theme="6" tint="0.79998168889431442"/>
        <color theme="6" tint="0.39997558519241921"/>
        <color theme="6" tint="-0.249977111117893"/>
      </colorScale>
    </cfRule>
  </conditionalFormatting>
  <dataValidations disablePrompts="1" count="1">
    <dataValidation type="list" allowBlank="1" showInputMessage="1" showErrorMessage="1" sqref="Q1" xr:uid="{33FCD1D3-F91C-4367-A37A-E2928C9EEF14}">
      <formula1>$Z$2:$AB$2</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2:V22"/>
  <sheetViews>
    <sheetView topLeftCell="A15" workbookViewId="0">
      <selection activeCell="J17" sqref="J17"/>
    </sheetView>
  </sheetViews>
  <sheetFormatPr baseColWidth="10" defaultRowHeight="15" x14ac:dyDescent="0.25"/>
  <cols>
    <col min="5" max="5" width="4.85546875" bestFit="1" customWidth="1"/>
    <col min="6" max="6" width="8.7109375" style="2" bestFit="1" customWidth="1"/>
    <col min="7" max="7" width="19.42578125" customWidth="1"/>
    <col min="8" max="8" width="9.28515625" customWidth="1"/>
    <col min="9" max="9" width="17.28515625" hidden="1" customWidth="1"/>
    <col min="10" max="10" width="12.28515625" customWidth="1"/>
    <col min="11" max="11" width="24.85546875" hidden="1" customWidth="1"/>
    <col min="12" max="12" width="53.28515625" customWidth="1"/>
    <col min="13" max="13" width="8.42578125" hidden="1" customWidth="1"/>
    <col min="14" max="14" width="8.85546875" hidden="1" customWidth="1"/>
    <col min="22" max="22" width="45" customWidth="1"/>
  </cols>
  <sheetData>
    <row r="2" spans="3:22" ht="15.75" thickBot="1" x14ac:dyDescent="0.3"/>
    <row r="3" spans="3:22" ht="45.75" thickBot="1" x14ac:dyDescent="0.3">
      <c r="C3" s="42">
        <v>0.28899999999999998</v>
      </c>
      <c r="F3" s="15" t="s">
        <v>71</v>
      </c>
      <c r="G3" s="16" t="s">
        <v>123</v>
      </c>
      <c r="H3" s="16" t="s">
        <v>72</v>
      </c>
      <c r="I3" s="16" t="s">
        <v>124</v>
      </c>
      <c r="J3" s="16" t="s">
        <v>196</v>
      </c>
      <c r="K3" s="16" t="s">
        <v>126</v>
      </c>
      <c r="L3" s="16" t="s">
        <v>125</v>
      </c>
      <c r="M3" s="16" t="s">
        <v>127</v>
      </c>
      <c r="N3" s="16" t="s">
        <v>133</v>
      </c>
    </row>
    <row r="4" spans="3:22" ht="45.75" thickBot="1" x14ac:dyDescent="0.3">
      <c r="C4" s="43">
        <v>1.06E-2</v>
      </c>
      <c r="E4" s="14"/>
      <c r="F4" s="16" t="s">
        <v>13</v>
      </c>
      <c r="G4" s="16" t="s">
        <v>188</v>
      </c>
      <c r="H4" s="38" t="s">
        <v>42</v>
      </c>
      <c r="I4" s="1">
        <v>1</v>
      </c>
      <c r="J4" s="17" t="e">
        <f>I4*#REF!</f>
        <v>#REF!</v>
      </c>
      <c r="K4" s="20">
        <f>585*9</f>
        <v>5265</v>
      </c>
      <c r="L4" s="16" t="s">
        <v>197</v>
      </c>
      <c r="M4" s="22" t="s">
        <v>128</v>
      </c>
      <c r="N4" s="22" t="s">
        <v>129</v>
      </c>
      <c r="P4" s="28"/>
      <c r="Q4" s="29"/>
      <c r="R4" s="30"/>
      <c r="S4" s="5"/>
      <c r="T4" s="5"/>
      <c r="U4" s="9"/>
      <c r="V4" s="10"/>
    </row>
    <row r="5" spans="3:22" ht="50.25" thickBot="1" x14ac:dyDescent="0.3">
      <c r="C5" s="44">
        <v>5.3E-3</v>
      </c>
      <c r="F5" s="16" t="s">
        <v>19</v>
      </c>
      <c r="G5" s="16" t="s">
        <v>189</v>
      </c>
      <c r="H5" s="38" t="s">
        <v>152</v>
      </c>
      <c r="I5" s="1">
        <v>1</v>
      </c>
      <c r="J5" s="18" t="e">
        <f>I5*#REF!</f>
        <v>#REF!</v>
      </c>
      <c r="K5" s="21">
        <v>0</v>
      </c>
      <c r="L5" s="16" t="s">
        <v>198</v>
      </c>
      <c r="M5" s="22" t="s">
        <v>1</v>
      </c>
      <c r="N5" s="22" t="s">
        <v>1</v>
      </c>
      <c r="P5" s="3"/>
      <c r="Q5" s="6"/>
      <c r="R5" s="8"/>
      <c r="S5" s="5"/>
      <c r="T5" s="5"/>
      <c r="U5" s="9"/>
      <c r="V5" s="10"/>
    </row>
    <row r="6" spans="3:22" ht="75.75" thickBot="1" x14ac:dyDescent="0.3">
      <c r="C6" s="43">
        <v>1.5900000000000001E-2</v>
      </c>
      <c r="E6" s="14"/>
      <c r="F6" s="16" t="s">
        <v>21</v>
      </c>
      <c r="G6" s="16" t="s">
        <v>138</v>
      </c>
      <c r="H6" s="37" t="s">
        <v>42</v>
      </c>
      <c r="I6" s="1">
        <v>1</v>
      </c>
      <c r="J6" s="18" t="e">
        <f>I6*#REF!</f>
        <v>#REF!</v>
      </c>
      <c r="K6" s="21">
        <f>585*2</f>
        <v>1170</v>
      </c>
      <c r="L6" s="16" t="s">
        <v>194</v>
      </c>
      <c r="M6" s="22" t="s">
        <v>131</v>
      </c>
      <c r="N6" s="22" t="s">
        <v>130</v>
      </c>
      <c r="P6" s="28"/>
      <c r="Q6" s="29"/>
      <c r="R6" s="30"/>
      <c r="S6" s="5"/>
      <c r="T6" s="5"/>
      <c r="U6" s="9"/>
      <c r="V6" s="10"/>
    </row>
    <row r="7" spans="3:22" ht="45.75" thickBot="1" x14ac:dyDescent="0.3">
      <c r="C7" s="44">
        <v>1.2200000000000001E-2</v>
      </c>
      <c r="F7" s="16" t="s">
        <v>28</v>
      </c>
      <c r="G7" s="16" t="s">
        <v>90</v>
      </c>
      <c r="H7" s="38" t="s">
        <v>52</v>
      </c>
      <c r="I7" s="1">
        <v>1</v>
      </c>
      <c r="J7" s="18" t="e">
        <f>I7*#REF!</f>
        <v>#REF!</v>
      </c>
      <c r="K7" s="21">
        <f>5*585</f>
        <v>2925</v>
      </c>
      <c r="L7" s="16" t="s">
        <v>193</v>
      </c>
      <c r="M7" s="22" t="s">
        <v>131</v>
      </c>
      <c r="N7" s="22" t="s">
        <v>130</v>
      </c>
      <c r="P7" s="3"/>
      <c r="Q7" s="26"/>
      <c r="R7" s="27"/>
      <c r="S7" s="5"/>
      <c r="T7" s="5"/>
      <c r="U7" s="9"/>
      <c r="V7" s="10"/>
    </row>
    <row r="8" spans="3:22" ht="75.75" thickBot="1" x14ac:dyDescent="0.3">
      <c r="C8" s="43">
        <v>1.2200000000000001E-2</v>
      </c>
      <c r="E8" s="14"/>
      <c r="F8" s="16" t="s">
        <v>4</v>
      </c>
      <c r="G8" s="16" t="s">
        <v>190</v>
      </c>
      <c r="H8" s="38" t="s">
        <v>53</v>
      </c>
      <c r="I8" s="1">
        <v>1</v>
      </c>
      <c r="J8" s="18" t="e">
        <f>I8*#REF!</f>
        <v>#REF!</v>
      </c>
      <c r="K8" s="21">
        <f>12*585</f>
        <v>7020</v>
      </c>
      <c r="L8" s="16" t="s">
        <v>192</v>
      </c>
      <c r="M8" s="22" t="s">
        <v>131</v>
      </c>
      <c r="N8" s="22" t="s">
        <v>130</v>
      </c>
      <c r="P8" s="3"/>
      <c r="Q8" s="26"/>
      <c r="R8" s="27"/>
      <c r="S8" s="5"/>
      <c r="T8" s="5"/>
      <c r="U8" s="9"/>
      <c r="V8" s="10"/>
    </row>
    <row r="9" spans="3:22" ht="45.75" thickBot="1" x14ac:dyDescent="0.3">
      <c r="C9" s="44">
        <v>2.4400000000000002E-2</v>
      </c>
      <c r="E9" s="14"/>
      <c r="F9" s="16" t="s">
        <v>186</v>
      </c>
      <c r="G9" s="16" t="s">
        <v>164</v>
      </c>
      <c r="H9" s="38" t="s">
        <v>165</v>
      </c>
      <c r="I9" s="1">
        <v>2</v>
      </c>
      <c r="J9" s="18" t="e">
        <f>I9*#REF!</f>
        <v>#REF!</v>
      </c>
      <c r="K9" s="21">
        <v>0</v>
      </c>
      <c r="L9" s="16" t="s">
        <v>191</v>
      </c>
      <c r="M9" s="22" t="s">
        <v>1</v>
      </c>
      <c r="N9" s="22" t="s">
        <v>1</v>
      </c>
      <c r="P9" s="3"/>
      <c r="Q9" s="26"/>
      <c r="R9" s="27"/>
      <c r="S9" s="5"/>
      <c r="T9" s="5"/>
      <c r="U9" s="9"/>
      <c r="V9" s="10"/>
    </row>
    <row r="10" spans="3:22" ht="45.75" thickBot="1" x14ac:dyDescent="0.3">
      <c r="C10" s="43">
        <v>1.2200000000000001E-2</v>
      </c>
      <c r="E10" s="14"/>
      <c r="F10" s="16" t="s">
        <v>187</v>
      </c>
      <c r="G10" s="16" t="s">
        <v>112</v>
      </c>
      <c r="H10" s="38" t="s">
        <v>33</v>
      </c>
      <c r="I10" s="1">
        <v>1</v>
      </c>
      <c r="J10" s="18" t="e">
        <f>I10*#REF!</f>
        <v>#REF!</v>
      </c>
      <c r="K10" s="21"/>
      <c r="L10" s="16" t="s">
        <v>195</v>
      </c>
      <c r="M10" s="22"/>
      <c r="N10" s="22"/>
      <c r="P10" s="3"/>
      <c r="Q10" s="26"/>
      <c r="R10" s="27"/>
      <c r="S10" s="5"/>
      <c r="T10" s="5"/>
      <c r="U10" s="9"/>
      <c r="V10" s="10"/>
    </row>
    <row r="11" spans="3:22" ht="60.75" thickBot="1" x14ac:dyDescent="0.3">
      <c r="C11" s="45">
        <v>0.01</v>
      </c>
      <c r="E11" s="14"/>
      <c r="F11" s="16" t="s">
        <v>23</v>
      </c>
      <c r="G11" s="16" t="s">
        <v>155</v>
      </c>
      <c r="H11" s="1" t="s">
        <v>44</v>
      </c>
      <c r="I11" s="1">
        <v>1</v>
      </c>
      <c r="J11" s="18" t="e">
        <f>I11*#REF!</f>
        <v>#REF!</v>
      </c>
      <c r="K11" s="21"/>
      <c r="L11" s="16" t="s">
        <v>175</v>
      </c>
      <c r="M11" s="22"/>
      <c r="N11" s="22"/>
      <c r="P11" s="3"/>
      <c r="Q11" s="26"/>
      <c r="R11" s="27"/>
      <c r="S11" s="5"/>
      <c r="T11" s="5"/>
      <c r="U11" s="9"/>
      <c r="V11" s="10"/>
    </row>
    <row r="12" spans="3:22" ht="60.75" thickBot="1" x14ac:dyDescent="0.3">
      <c r="C12" s="43">
        <v>6.1000000000000004E-3</v>
      </c>
      <c r="F12" s="16" t="s">
        <v>157</v>
      </c>
      <c r="G12" s="16" t="s">
        <v>159</v>
      </c>
      <c r="H12" s="1" t="s">
        <v>41</v>
      </c>
      <c r="I12" s="1">
        <v>1</v>
      </c>
      <c r="J12" s="18" t="e">
        <f>I12*#REF!</f>
        <v>#REF!</v>
      </c>
      <c r="K12" s="21">
        <v>2340</v>
      </c>
      <c r="L12" s="16" t="s">
        <v>176</v>
      </c>
      <c r="M12" s="22" t="s">
        <v>131</v>
      </c>
      <c r="N12" s="22" t="s">
        <v>130</v>
      </c>
      <c r="P12" s="3"/>
      <c r="Q12" s="26"/>
      <c r="R12" s="27"/>
      <c r="S12" s="5"/>
      <c r="T12" s="5"/>
      <c r="U12" s="9"/>
      <c r="V12" s="10"/>
    </row>
    <row r="13" spans="3:22" ht="45.75" thickBot="1" x14ac:dyDescent="0.3">
      <c r="C13" s="45">
        <v>0.01</v>
      </c>
      <c r="E13" s="14"/>
      <c r="F13" s="16" t="s">
        <v>55</v>
      </c>
      <c r="G13" s="16" t="s">
        <v>82</v>
      </c>
      <c r="H13" s="1" t="s">
        <v>56</v>
      </c>
      <c r="I13" s="1">
        <v>1</v>
      </c>
      <c r="J13" s="18" t="e">
        <f>I13*#REF!</f>
        <v>#REF!</v>
      </c>
      <c r="K13" s="21">
        <f>7*585</f>
        <v>4095</v>
      </c>
      <c r="L13" s="16" t="s">
        <v>174</v>
      </c>
      <c r="M13" s="22" t="s">
        <v>131</v>
      </c>
      <c r="N13" s="22" t="s">
        <v>130</v>
      </c>
      <c r="P13" s="28"/>
      <c r="Q13" s="29"/>
      <c r="R13" s="30"/>
      <c r="S13" s="5"/>
      <c r="T13" s="5"/>
      <c r="U13" s="9"/>
      <c r="V13" s="10"/>
    </row>
    <row r="14" spans="3:22" ht="300.75" thickBot="1" x14ac:dyDescent="0.3">
      <c r="C14" s="43">
        <v>1.0500000000000001E-2</v>
      </c>
      <c r="E14" s="14"/>
      <c r="F14" s="16" t="s">
        <v>30</v>
      </c>
      <c r="G14" s="16" t="s">
        <v>134</v>
      </c>
      <c r="H14" s="1">
        <v>1</v>
      </c>
      <c r="I14" s="1">
        <v>1</v>
      </c>
      <c r="J14" s="18" t="e">
        <f>I14*#REF!</f>
        <v>#REF!</v>
      </c>
      <c r="K14" s="21">
        <f>3*585</f>
        <v>1755</v>
      </c>
      <c r="L14" s="16" t="s">
        <v>177</v>
      </c>
      <c r="M14" s="22" t="s">
        <v>128</v>
      </c>
      <c r="N14" s="22" t="s">
        <v>130</v>
      </c>
      <c r="P14" s="28"/>
      <c r="Q14" s="29"/>
      <c r="R14" s="30"/>
      <c r="S14" s="5"/>
      <c r="T14" s="5"/>
      <c r="U14" s="9"/>
      <c r="V14" s="10"/>
    </row>
    <row r="15" spans="3:22" ht="285.75" thickBot="1" x14ac:dyDescent="0.3">
      <c r="C15" s="44">
        <v>6.0000000000000001E-3</v>
      </c>
      <c r="F15" s="16" t="s">
        <v>30</v>
      </c>
      <c r="G15" s="16" t="s">
        <v>135</v>
      </c>
      <c r="H15" s="1" t="s">
        <v>58</v>
      </c>
      <c r="I15" s="1">
        <v>2</v>
      </c>
      <c r="J15" s="18" t="e">
        <f>I15*#REF!</f>
        <v>#REF!</v>
      </c>
      <c r="K15" s="21">
        <f>10*585</f>
        <v>5850</v>
      </c>
      <c r="L15" s="16" t="s">
        <v>178</v>
      </c>
      <c r="M15" s="22" t="s">
        <v>128</v>
      </c>
      <c r="N15" s="22" t="s">
        <v>129</v>
      </c>
      <c r="P15" s="28"/>
      <c r="Q15" s="29"/>
      <c r="R15" s="30"/>
      <c r="S15" s="5"/>
      <c r="T15" s="5"/>
      <c r="U15" s="9"/>
      <c r="V15" s="10"/>
    </row>
    <row r="16" spans="3:22" ht="105.75" thickBot="1" x14ac:dyDescent="0.3">
      <c r="C16" s="43">
        <v>0.40329999999999999</v>
      </c>
      <c r="F16" s="16" t="s">
        <v>66</v>
      </c>
      <c r="G16" s="16" t="s">
        <v>184</v>
      </c>
      <c r="H16" s="1" t="s">
        <v>33</v>
      </c>
      <c r="I16" s="1">
        <v>1</v>
      </c>
      <c r="J16" s="18" t="e">
        <f>I16*#REF!</f>
        <v>#REF!</v>
      </c>
      <c r="K16" s="21">
        <f>10*585</f>
        <v>5850</v>
      </c>
      <c r="L16" s="16" t="s">
        <v>182</v>
      </c>
      <c r="M16" s="22" t="s">
        <v>128</v>
      </c>
      <c r="N16" s="22" t="s">
        <v>129</v>
      </c>
    </row>
    <row r="17" spans="3:22" ht="75.75" thickBot="1" x14ac:dyDescent="0.3">
      <c r="C17" s="41">
        <v>9.4999999999999998E-3</v>
      </c>
      <c r="E17" s="16"/>
      <c r="F17" s="16" t="s">
        <v>67</v>
      </c>
      <c r="G17" s="16" t="s">
        <v>146</v>
      </c>
      <c r="H17" s="16" t="s">
        <v>170</v>
      </c>
      <c r="I17" s="16">
        <v>1</v>
      </c>
      <c r="J17" s="16" t="e">
        <f>I17*#REF!</f>
        <v>#REF!</v>
      </c>
      <c r="K17" s="16">
        <f>585*47</f>
        <v>27495</v>
      </c>
      <c r="L17" s="16" t="s">
        <v>183</v>
      </c>
      <c r="M17" t="s">
        <v>128</v>
      </c>
      <c r="N17" t="s">
        <v>132</v>
      </c>
      <c r="P17" s="28"/>
      <c r="Q17" s="29"/>
      <c r="R17" s="30"/>
      <c r="S17" s="5"/>
      <c r="T17" s="5"/>
      <c r="U17" s="9"/>
      <c r="V17" s="10"/>
    </row>
    <row r="18" spans="3:22" ht="15.75" thickBot="1" x14ac:dyDescent="0.3">
      <c r="C18" s="40">
        <v>9.4999999999999998E-3</v>
      </c>
      <c r="F18" s="31"/>
      <c r="G18" s="32"/>
      <c r="H18" s="33"/>
      <c r="I18" s="33">
        <f>SUBTOTAL(109,Tableau5[Estimation du nombre de points atteignables])</f>
        <v>16</v>
      </c>
      <c r="J18" s="34" t="e">
        <f>SUBTOTAL(109,Tableau5[Nombre de points atteignables])</f>
        <v>#REF!</v>
      </c>
      <c r="K18" s="35"/>
      <c r="L18" s="36"/>
    </row>
    <row r="19" spans="3:22" ht="15.75" thickBot="1" x14ac:dyDescent="0.3">
      <c r="C19" s="41">
        <v>9.4999999999999998E-3</v>
      </c>
    </row>
    <row r="20" spans="3:22" ht="15.75" thickBot="1" x14ac:dyDescent="0.3">
      <c r="C20" s="40">
        <v>2.1000000000000001E-2</v>
      </c>
    </row>
    <row r="21" spans="3:22" ht="15.75" thickBot="1" x14ac:dyDescent="0.3">
      <c r="C21" s="41">
        <v>1.2E-2</v>
      </c>
    </row>
    <row r="22" spans="3:22" ht="15.75" thickBot="1" x14ac:dyDescent="0.3">
      <c r="C22" s="39" t="s">
        <v>228</v>
      </c>
      <c r="K22" s="19"/>
    </row>
  </sheetData>
  <conditionalFormatting sqref="Q4:V15">
    <cfRule type="expression" dxfId="1" priority="16">
      <formula>AND($G4=0,$D4&lt;&gt; "Prérequis")</formula>
    </cfRule>
  </conditionalFormatting>
  <conditionalFormatting sqref="Q17:V17">
    <cfRule type="expression" dxfId="0" priority="14">
      <formula>AND($G17=0,$D17&lt;&gt; "Prérequis")</formula>
    </cfRule>
  </conditionalFormatting>
  <pageMargins left="0.70866141732283472" right="0.70866141732283472" top="0.74803149606299213" bottom="0.74803149606299213" header="0.31496062992125984" footer="0.31496062992125984"/>
  <pageSetup paperSize="9" scale="84"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e14dbf3-4757-4b87-830c-f81c5995cb21" xsi:nil="true"/>
    <lcf76f155ced4ddcb4097134ff3c332f xmlns="ec407b85-22e9-43a2-9ee3-8399a223d44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21C7F79DA7D44C9202BD863DBD3895" ma:contentTypeVersion="15" ma:contentTypeDescription="Crée un document." ma:contentTypeScope="" ma:versionID="fed637fa7e1d143a204cefcb6187e972">
  <xsd:schema xmlns:xsd="http://www.w3.org/2001/XMLSchema" xmlns:xs="http://www.w3.org/2001/XMLSchema" xmlns:p="http://schemas.microsoft.com/office/2006/metadata/properties" xmlns:ns2="ec407b85-22e9-43a2-9ee3-8399a223d44b" xmlns:ns3="4e14dbf3-4757-4b87-830c-f81c5995cb21" targetNamespace="http://schemas.microsoft.com/office/2006/metadata/properties" ma:root="true" ma:fieldsID="89ed423d9bbd7ae496afd80ebb04f7a8" ns2:_="" ns3:_="">
    <xsd:import namespace="ec407b85-22e9-43a2-9ee3-8399a223d44b"/>
    <xsd:import namespace="4e14dbf3-4757-4b87-830c-f81c5995cb21"/>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07b85-22e9-43a2-9ee3-8399a223d44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1be86c89-c566-46aa-ae21-a1d5288a1dd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14dbf3-4757-4b87-830c-f81c5995cb21"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7f458ee-1ef1-4301-b5c0-feb4c957d412}" ma:internalName="TaxCatchAll" ma:showField="CatchAllData" ma:web="4e14dbf3-4757-4b87-830c-f81c5995cb2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8BAAE8-B782-4F63-A92B-D383B00FEA5B}">
  <ds:schemaRefs>
    <ds:schemaRef ds:uri="http://schemas.microsoft.com/office/2006/metadata/properties"/>
    <ds:schemaRef ds:uri="http://schemas.openxmlformats.org/package/2006/metadata/core-properties"/>
    <ds:schemaRef ds:uri="http://schemas.microsoft.com/office/2006/documentManagement/types"/>
    <ds:schemaRef ds:uri="http://purl.org/dc/dcmitype/"/>
    <ds:schemaRef ds:uri="4e14dbf3-4757-4b87-830c-f81c5995cb21"/>
    <ds:schemaRef ds:uri="http://purl.org/dc/elements/1.1/"/>
    <ds:schemaRef ds:uri="http://www.w3.org/XML/1998/namespace"/>
    <ds:schemaRef ds:uri="http://schemas.microsoft.com/office/infopath/2007/PartnerControls"/>
    <ds:schemaRef ds:uri="ec407b85-22e9-43a2-9ee3-8399a223d44b"/>
    <ds:schemaRef ds:uri="http://purl.org/dc/terms/"/>
  </ds:schemaRefs>
</ds:datastoreItem>
</file>

<file path=customXml/itemProps2.xml><?xml version="1.0" encoding="utf-8"?>
<ds:datastoreItem xmlns:ds="http://schemas.openxmlformats.org/officeDocument/2006/customXml" ds:itemID="{96477EE0-D69D-494E-A267-59EBF2123547}">
  <ds:schemaRefs>
    <ds:schemaRef ds:uri="http://schemas.microsoft.com/sharepoint/v3/contenttype/forms"/>
  </ds:schemaRefs>
</ds:datastoreItem>
</file>

<file path=customXml/itemProps3.xml><?xml version="1.0" encoding="utf-8"?>
<ds:datastoreItem xmlns:ds="http://schemas.openxmlformats.org/officeDocument/2006/customXml" ds:itemID="{86D89662-BC7E-433B-A0D7-3034BA5A32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07b85-22e9-43a2-9ee3-8399a223d44b"/>
    <ds:schemaRef ds:uri="4e14dbf3-4757-4b87-830c-f81c5995cb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Evaluation</vt:lpstr>
      <vt:lpstr>Score</vt:lpstr>
      <vt:lpstr>Points à prendre</vt:lpstr>
      <vt:lpstr>Evaluation!Impression_des_titres</vt:lpstr>
      <vt:lpstr>'Points à prendre'!Impression_des_titres</vt:lpstr>
      <vt:lpstr>Evaluation!Zone_d_impression</vt:lpstr>
      <vt:lpstr>'Points à prendre'!Zone_d_impression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2026-04-14T16:29:36Z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0x0101003C21C7F79DA7D44C9202BD863DBD3895</vt:lpwstr>
  </property>
  <property fmtid="{D5CDD505-2E9C-101B-9397-08002B2CF9AE}" pid="3" name="MediaServiceImageTags">
    <vt:lpwstr/>
  </property>
</Properties>
</file>